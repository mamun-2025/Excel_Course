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Sheet1!$D$63:$O$78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1" i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" i="1"/>
  <c r="I3" i="1" l="1"/>
</calcChain>
</file>

<file path=xl/sharedStrings.xml><?xml version="1.0" encoding="utf-8"?>
<sst xmlns="http://schemas.openxmlformats.org/spreadsheetml/2006/main" count="204" uniqueCount="92">
  <si>
    <t xml:space="preserve">Filter = ctrl+shift+L </t>
  </si>
  <si>
    <t xml:space="preserve">ID </t>
  </si>
  <si>
    <t>DEPARTMENT</t>
  </si>
  <si>
    <t>POSITION</t>
  </si>
  <si>
    <t>MOBILE</t>
  </si>
  <si>
    <t>WORKING AREA</t>
  </si>
  <si>
    <t>SALARY</t>
  </si>
  <si>
    <t>Date-Of-Birth</t>
  </si>
  <si>
    <t>Age</t>
  </si>
  <si>
    <t xml:space="preserve">Rudro </t>
  </si>
  <si>
    <t>IT</t>
  </si>
  <si>
    <t>EXECUTIVE</t>
  </si>
  <si>
    <t>KHULNA</t>
  </si>
  <si>
    <t>Rasel</t>
  </si>
  <si>
    <t>HR</t>
  </si>
  <si>
    <t>BASHUNDHARA</t>
  </si>
  <si>
    <t>Akman</t>
  </si>
  <si>
    <t>SALES</t>
  </si>
  <si>
    <t>COXSBAZAR</t>
  </si>
  <si>
    <t>Farid</t>
  </si>
  <si>
    <t>LCD</t>
  </si>
  <si>
    <t>MANAGER</t>
  </si>
  <si>
    <t>LOVEROAD</t>
  </si>
  <si>
    <t>Labib</t>
  </si>
  <si>
    <t>ACCOUNTING</t>
  </si>
  <si>
    <t>ASSITANT</t>
  </si>
  <si>
    <t>NOYAKHALI</t>
  </si>
  <si>
    <t>Forhad</t>
  </si>
  <si>
    <t>MD</t>
  </si>
  <si>
    <t>HOBIGONG</t>
  </si>
  <si>
    <t>Mominul</t>
  </si>
  <si>
    <t>DHAKA</t>
  </si>
  <si>
    <t>Sohan</t>
  </si>
  <si>
    <t>GRAPHICS</t>
  </si>
  <si>
    <t>Ashik</t>
  </si>
  <si>
    <t>PURAN DHAKA</t>
  </si>
  <si>
    <t>Uttom</t>
  </si>
  <si>
    <t>DU</t>
  </si>
  <si>
    <t>Noyon</t>
  </si>
  <si>
    <t>GULSAN</t>
  </si>
  <si>
    <t>Mamun</t>
  </si>
  <si>
    <t>Hasan</t>
  </si>
  <si>
    <t>MARKETING</t>
  </si>
  <si>
    <t>HATIRJHEEL</t>
  </si>
  <si>
    <t>Nadim</t>
  </si>
  <si>
    <t>DEVELOPER</t>
  </si>
  <si>
    <t>GS</t>
  </si>
  <si>
    <t>KURIL</t>
  </si>
  <si>
    <t>Torun</t>
  </si>
  <si>
    <t>AGS</t>
  </si>
  <si>
    <t>LALBAG</t>
  </si>
  <si>
    <t>Dinan</t>
  </si>
  <si>
    <t>Tushar</t>
  </si>
  <si>
    <t>MOTIJEEL</t>
  </si>
  <si>
    <t>Rakib</t>
  </si>
  <si>
    <t>MIRPUR</t>
  </si>
  <si>
    <t>Quddus</t>
  </si>
  <si>
    <t>BARIDHARA</t>
  </si>
  <si>
    <t>Sujon</t>
  </si>
  <si>
    <t>300FIT</t>
  </si>
  <si>
    <t>Mahedi</t>
  </si>
  <si>
    <t>MOHAKHALI</t>
  </si>
  <si>
    <t>Sabbir</t>
  </si>
  <si>
    <t xml:space="preserve">Habib </t>
  </si>
  <si>
    <t>MADARIPU</t>
  </si>
  <si>
    <t>Taufik</t>
  </si>
  <si>
    <t>Asad</t>
  </si>
  <si>
    <t>MANIKGONJ</t>
  </si>
  <si>
    <t>GAZIPUR</t>
  </si>
  <si>
    <t>Rajib</t>
  </si>
  <si>
    <t>Ahad</t>
  </si>
  <si>
    <t>Fahad</t>
  </si>
  <si>
    <t>Kasem</t>
  </si>
  <si>
    <t>BARISAL</t>
  </si>
  <si>
    <t>Nuhu</t>
  </si>
  <si>
    <t>Utsho</t>
  </si>
  <si>
    <t>Polas</t>
  </si>
  <si>
    <t>Akash</t>
  </si>
  <si>
    <t>KUAKATA</t>
  </si>
  <si>
    <t>Akabar</t>
  </si>
  <si>
    <t>Omi</t>
  </si>
  <si>
    <t>Harun</t>
  </si>
  <si>
    <t>Tausif</t>
  </si>
  <si>
    <t>Habib</t>
  </si>
  <si>
    <t>Babul</t>
  </si>
  <si>
    <t>Ontor</t>
  </si>
  <si>
    <t>Sakil</t>
  </si>
  <si>
    <t>Name</t>
  </si>
  <si>
    <t>Employee Name</t>
  </si>
  <si>
    <t>Details</t>
  </si>
  <si>
    <t>Result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</si>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</sst>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)@"/>
    <numFmt numFmtId="165" formatCode="00000"/>
    <numFmt numFmtId="166" formatCode="[&lt;=9999999]###\-####;\(###\)\ ###\-####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sz val="16"/>
      <color theme="0"/>
      <name val="Times New Roman"/>
      <family val="1"/>
    </font>
    <font>
      <b/>
      <sz val="24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5" fontId="1" fillId="0" borderId="0" applyFont="0" applyFill="0" applyBorder="0">
      <alignment horizontal="left"/>
    </xf>
    <xf numFmtId="166" fontId="1" fillId="0" borderId="0">
      <alignment horizontal="center"/>
    </xf>
    <xf numFmtId="164" fontId="2" fillId="2" borderId="0" applyFill="0" applyProtection="0">
      <alignment vertical="center"/>
    </xf>
  </cellStyleXfs>
  <cellXfs count="10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</cellXfs>
  <cellStyles count="4">
    <cellStyle name="Contact Number" xfId="2"/>
    <cellStyle name="Email" xfId="3"/>
    <cellStyle name="Normal" xfId="0" builtinId="0"/>
    <cellStyle name="Zip Code" xfId="1"/>
  </cellStyles>
  <dxfs count="10"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numFmt numFmtId="0" formatCode="General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numFmt numFmtId="19" formatCode="m/d/yyyy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numFmt numFmtId="0" formatCode="General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D4:K51" totalsRowShown="0" headerRowDxfId="9" dataDxfId="8">
  <tableColumns count="8">
    <tableColumn id="3" name="ID " dataDxfId="7">
      <calculatedColumnFormula>RANDBETWEEN(400,1200)</calculatedColumnFormula>
    </tableColumn>
    <tableColumn id="4" name="DEPARTMENT" dataDxfId="6"/>
    <tableColumn id="5" name="POSITION" dataDxfId="5"/>
    <tableColumn id="6" name="MOBILE" dataDxfId="4"/>
    <tableColumn id="7" name="WORKING AREA" dataDxfId="3"/>
    <tableColumn id="8" name="SALARY" dataDxfId="2"/>
    <tableColumn id="10" name="Date-Of-Birth" dataDxfId="1"/>
    <tableColumn id="11" name="Age" dataDxfId="0">
      <calculatedColumnFormula>RANDBETWEEN(20,40)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abSelected="1" topLeftCell="B1" zoomScale="90" zoomScaleNormal="90" workbookViewId="0">
      <selection activeCell="M10" sqref="M10"/>
    </sheetView>
  </sheetViews>
  <sheetFormatPr defaultColWidth="9.09765625" defaultRowHeight="13.8"/>
  <cols>
    <col min="2" max="2" width="7.5" customWidth="1"/>
    <col min="3" max="3" width="13" customWidth="1"/>
    <col min="4" max="4" width="18.3984375" bestFit="1" customWidth="1"/>
    <col min="5" max="5" width="18.3984375" customWidth="1"/>
    <col min="6" max="6" width="19.8984375" customWidth="1"/>
    <col min="7" max="7" width="23.19921875" customWidth="1"/>
    <col min="8" max="8" width="18.8984375" customWidth="1"/>
    <col min="9" max="9" width="13.69921875" bestFit="1" customWidth="1"/>
    <col min="10" max="10" width="19.796875" customWidth="1"/>
    <col min="11" max="11" width="20.8984375" bestFit="1" customWidth="1"/>
    <col min="12" max="12" width="5.3984375" customWidth="1"/>
    <col min="13" max="13" width="15.19921875" customWidth="1"/>
    <col min="14" max="14" width="14.296875" customWidth="1"/>
    <col min="15" max="15" width="16.3984375" customWidth="1"/>
  </cols>
  <sheetData>
    <row r="1" spans="2:11" ht="40.799999999999997" customHeight="1">
      <c r="E1" s="1" t="s">
        <v>0</v>
      </c>
      <c r="G1" s="2" t="s">
        <v>88</v>
      </c>
      <c r="H1" s="2" t="s">
        <v>75</v>
      </c>
      <c r="I1" s="2">
        <f>MATCH(H1,C5:C51,0)</f>
        <v>13</v>
      </c>
    </row>
    <row r="2" spans="2:11" ht="20.25" customHeight="1">
      <c r="G2" s="3" t="s">
        <v>89</v>
      </c>
      <c r="H2" s="3" t="s">
        <v>8</v>
      </c>
      <c r="I2" s="3">
        <f>MATCH(H2,C4:K4,0)</f>
        <v>9</v>
      </c>
    </row>
    <row r="3" spans="2:11" ht="31.2" customHeight="1">
      <c r="G3" s="4" t="s">
        <v>90</v>
      </c>
      <c r="H3" s="4" t="s">
        <v>91</v>
      </c>
      <c r="I3" s="5">
        <f ca="1">INDEX(C5:K51,I1,I2)</f>
        <v>21</v>
      </c>
    </row>
    <row r="4" spans="2:11" ht="15.6">
      <c r="C4" s="9" t="s">
        <v>87</v>
      </c>
      <c r="D4" s="9" t="s">
        <v>1</v>
      </c>
      <c r="E4" s="9" t="s">
        <v>2</v>
      </c>
      <c r="F4" s="9" t="s">
        <v>3</v>
      </c>
      <c r="G4" s="9" t="s">
        <v>4</v>
      </c>
      <c r="H4" s="9" t="s">
        <v>5</v>
      </c>
      <c r="I4" s="9" t="s">
        <v>6</v>
      </c>
      <c r="J4" s="9" t="s">
        <v>7</v>
      </c>
      <c r="K4" s="9" t="s">
        <v>8</v>
      </c>
    </row>
    <row r="5" spans="2:11" ht="22.5" customHeight="1">
      <c r="B5">
        <v>1</v>
      </c>
      <c r="C5" s="6" t="s">
        <v>40</v>
      </c>
      <c r="D5" s="6">
        <f t="shared" ref="D5:D51" ca="1" si="0">RANDBETWEEN(400,1200)</f>
        <v>632</v>
      </c>
      <c r="E5" s="6" t="s">
        <v>20</v>
      </c>
      <c r="F5" s="6" t="s">
        <v>11</v>
      </c>
      <c r="G5" s="7">
        <v>1964766244</v>
      </c>
      <c r="H5" s="6" t="s">
        <v>31</v>
      </c>
      <c r="I5" s="6">
        <v>600000</v>
      </c>
      <c r="J5" s="8">
        <v>36821</v>
      </c>
      <c r="K5" s="6">
        <f t="shared" ref="K5:K51" ca="1" si="1">RANDBETWEEN(20,40)</f>
        <v>34</v>
      </c>
    </row>
    <row r="6" spans="2:11" ht="18" customHeight="1">
      <c r="B6">
        <v>2</v>
      </c>
      <c r="C6" s="6" t="s">
        <v>63</v>
      </c>
      <c r="D6" s="6">
        <f t="shared" ca="1" si="0"/>
        <v>1135</v>
      </c>
      <c r="E6" s="6" t="s">
        <v>20</v>
      </c>
      <c r="F6" s="6" t="s">
        <v>14</v>
      </c>
      <c r="G6" s="7">
        <v>1964766245</v>
      </c>
      <c r="H6" s="6" t="s">
        <v>64</v>
      </c>
      <c r="I6" s="6">
        <v>50000</v>
      </c>
      <c r="J6" s="8">
        <v>38394</v>
      </c>
      <c r="K6" s="6">
        <f t="shared" ca="1" si="1"/>
        <v>31</v>
      </c>
    </row>
    <row r="7" spans="2:11" ht="17.25" customHeight="1">
      <c r="B7">
        <v>3</v>
      </c>
      <c r="C7" s="6" t="s">
        <v>9</v>
      </c>
      <c r="D7" s="6">
        <f t="shared" ca="1" si="0"/>
        <v>635</v>
      </c>
      <c r="E7" s="6" t="s">
        <v>10</v>
      </c>
      <c r="F7" s="6" t="s">
        <v>11</v>
      </c>
      <c r="G7" s="7">
        <v>1964766246</v>
      </c>
      <c r="H7" s="6" t="s">
        <v>12</v>
      </c>
      <c r="I7" s="6">
        <v>40000</v>
      </c>
      <c r="J7" s="8">
        <v>40508</v>
      </c>
      <c r="K7" s="6">
        <f t="shared" ca="1" si="1"/>
        <v>39</v>
      </c>
    </row>
    <row r="8" spans="2:11" ht="18.75" customHeight="1">
      <c r="B8">
        <v>4</v>
      </c>
      <c r="C8" s="6" t="s">
        <v>13</v>
      </c>
      <c r="D8" s="6">
        <f t="shared" ca="1" si="0"/>
        <v>974</v>
      </c>
      <c r="E8" s="6" t="s">
        <v>10</v>
      </c>
      <c r="F8" s="6" t="s">
        <v>14</v>
      </c>
      <c r="G8" s="7">
        <v>1964766247</v>
      </c>
      <c r="H8" s="6" t="s">
        <v>15</v>
      </c>
      <c r="I8" s="6">
        <v>30000</v>
      </c>
      <c r="J8" s="8">
        <v>44649</v>
      </c>
      <c r="K8" s="6">
        <f t="shared" ca="1" si="1"/>
        <v>20</v>
      </c>
    </row>
    <row r="9" spans="2:11" ht="19.5" customHeight="1">
      <c r="B9">
        <v>5</v>
      </c>
      <c r="C9" s="6" t="s">
        <v>69</v>
      </c>
      <c r="D9" s="6">
        <f t="shared" ca="1" si="0"/>
        <v>765</v>
      </c>
      <c r="E9" s="6" t="s">
        <v>42</v>
      </c>
      <c r="F9" s="6" t="s">
        <v>21</v>
      </c>
      <c r="G9" s="7">
        <v>1964766248</v>
      </c>
      <c r="H9" s="6" t="s">
        <v>57</v>
      </c>
      <c r="I9" s="6">
        <v>50000</v>
      </c>
      <c r="J9" s="8">
        <v>39641</v>
      </c>
      <c r="K9" s="6">
        <f t="shared" ca="1" si="1"/>
        <v>23</v>
      </c>
    </row>
    <row r="10" spans="2:11" ht="21.75" customHeight="1">
      <c r="B10">
        <v>6</v>
      </c>
      <c r="C10" s="6" t="s">
        <v>38</v>
      </c>
      <c r="D10" s="6">
        <f t="shared" ca="1" si="0"/>
        <v>589</v>
      </c>
      <c r="E10" s="6" t="s">
        <v>24</v>
      </c>
      <c r="F10" s="6" t="s">
        <v>25</v>
      </c>
      <c r="G10" s="7">
        <v>1964766249</v>
      </c>
      <c r="H10" s="6" t="s">
        <v>39</v>
      </c>
      <c r="I10" s="6">
        <v>300000</v>
      </c>
      <c r="J10" s="8">
        <v>41255</v>
      </c>
      <c r="K10" s="6">
        <f t="shared" ca="1" si="1"/>
        <v>36</v>
      </c>
    </row>
    <row r="11" spans="2:11" ht="15.6">
      <c r="B11">
        <v>7</v>
      </c>
      <c r="C11" s="6" t="s">
        <v>41</v>
      </c>
      <c r="D11" s="6">
        <f t="shared" ca="1" si="0"/>
        <v>1151</v>
      </c>
      <c r="E11" s="6" t="s">
        <v>42</v>
      </c>
      <c r="F11" s="6" t="s">
        <v>21</v>
      </c>
      <c r="G11" s="7">
        <v>1964766250</v>
      </c>
      <c r="H11" s="6" t="s">
        <v>43</v>
      </c>
      <c r="I11" s="6">
        <v>39999</v>
      </c>
      <c r="J11" s="8">
        <v>45255</v>
      </c>
      <c r="K11" s="6">
        <f t="shared" ca="1" si="1"/>
        <v>32</v>
      </c>
    </row>
    <row r="12" spans="2:11" ht="15.6">
      <c r="B12">
        <v>8</v>
      </c>
      <c r="C12" s="6" t="s">
        <v>54</v>
      </c>
      <c r="D12" s="6">
        <f t="shared" ca="1" si="0"/>
        <v>892</v>
      </c>
      <c r="E12" s="6" t="s">
        <v>10</v>
      </c>
      <c r="F12" s="6" t="s">
        <v>25</v>
      </c>
      <c r="G12" s="7">
        <v>1964766251</v>
      </c>
      <c r="H12" s="6" t="s">
        <v>55</v>
      </c>
      <c r="I12" s="6">
        <v>50000</v>
      </c>
      <c r="J12" s="8">
        <v>41144</v>
      </c>
      <c r="K12" s="6">
        <f t="shared" ca="1" si="1"/>
        <v>35</v>
      </c>
    </row>
    <row r="13" spans="2:11" ht="15.6">
      <c r="B13">
        <v>9</v>
      </c>
      <c r="C13" s="6" t="s">
        <v>85</v>
      </c>
      <c r="D13" s="6">
        <f t="shared" ca="1" si="0"/>
        <v>1074</v>
      </c>
      <c r="E13" s="6" t="s">
        <v>33</v>
      </c>
      <c r="F13" s="6" t="s">
        <v>14</v>
      </c>
      <c r="G13" s="7">
        <v>1964766252</v>
      </c>
      <c r="H13" s="6" t="s">
        <v>59</v>
      </c>
      <c r="I13" s="6">
        <v>50000</v>
      </c>
      <c r="J13" s="8">
        <v>43365</v>
      </c>
      <c r="K13" s="6">
        <f t="shared" ca="1" si="1"/>
        <v>21</v>
      </c>
    </row>
    <row r="14" spans="2:11" ht="15.6">
      <c r="B14">
        <v>10</v>
      </c>
      <c r="C14" s="6" t="s">
        <v>44</v>
      </c>
      <c r="D14" s="6">
        <f t="shared" ca="1" si="0"/>
        <v>473</v>
      </c>
      <c r="E14" s="6" t="s">
        <v>45</v>
      </c>
      <c r="F14" s="6" t="s">
        <v>46</v>
      </c>
      <c r="G14" s="7">
        <v>1964766253</v>
      </c>
      <c r="H14" s="6" t="s">
        <v>47</v>
      </c>
      <c r="I14" s="6">
        <v>20000</v>
      </c>
      <c r="J14" s="8">
        <v>36821</v>
      </c>
      <c r="K14" s="6">
        <f t="shared" ca="1" si="1"/>
        <v>40</v>
      </c>
    </row>
    <row r="15" spans="2:11" ht="15.6">
      <c r="B15">
        <v>11</v>
      </c>
      <c r="C15" s="6" t="s">
        <v>70</v>
      </c>
      <c r="D15" s="6">
        <f t="shared" ca="1" si="0"/>
        <v>1154</v>
      </c>
      <c r="E15" s="6" t="s">
        <v>42</v>
      </c>
      <c r="F15" s="6" t="s">
        <v>49</v>
      </c>
      <c r="G15" s="7">
        <v>1964766254</v>
      </c>
      <c r="H15" s="6" t="s">
        <v>68</v>
      </c>
      <c r="I15" s="6">
        <v>40000</v>
      </c>
      <c r="J15" s="8">
        <v>38394</v>
      </c>
      <c r="K15" s="6">
        <f t="shared" ca="1" si="1"/>
        <v>27</v>
      </c>
    </row>
    <row r="16" spans="2:11" ht="15.6">
      <c r="B16">
        <v>12</v>
      </c>
      <c r="C16" s="6" t="s">
        <v>71</v>
      </c>
      <c r="D16" s="6">
        <f t="shared" ca="1" si="0"/>
        <v>1066</v>
      </c>
      <c r="E16" s="6" t="s">
        <v>10</v>
      </c>
      <c r="F16" s="6" t="s">
        <v>46</v>
      </c>
      <c r="G16" s="7">
        <v>1964766255</v>
      </c>
      <c r="H16" s="6" t="s">
        <v>50</v>
      </c>
      <c r="I16" s="6">
        <v>30000</v>
      </c>
      <c r="J16" s="8">
        <v>40508</v>
      </c>
      <c r="K16" s="6">
        <f t="shared" ca="1" si="1"/>
        <v>38</v>
      </c>
    </row>
    <row r="17" spans="2:11" ht="27.75" customHeight="1">
      <c r="B17">
        <v>13</v>
      </c>
      <c r="C17" s="6" t="s">
        <v>75</v>
      </c>
      <c r="D17" s="6">
        <f t="shared" ca="1" si="0"/>
        <v>697</v>
      </c>
      <c r="E17" s="6" t="s">
        <v>10</v>
      </c>
      <c r="F17" s="6" t="s">
        <v>49</v>
      </c>
      <c r="G17" s="7">
        <v>1964766256</v>
      </c>
      <c r="H17" s="6" t="s">
        <v>53</v>
      </c>
      <c r="I17" s="6">
        <v>20000</v>
      </c>
      <c r="J17" s="8">
        <v>44649</v>
      </c>
      <c r="K17" s="6">
        <f t="shared" ca="1" si="1"/>
        <v>21</v>
      </c>
    </row>
    <row r="18" spans="2:11" ht="15.6">
      <c r="B18">
        <v>14</v>
      </c>
      <c r="C18" s="6" t="s">
        <v>60</v>
      </c>
      <c r="D18" s="6">
        <f t="shared" ca="1" si="0"/>
        <v>532</v>
      </c>
      <c r="E18" s="6" t="s">
        <v>20</v>
      </c>
      <c r="F18" s="6" t="s">
        <v>14</v>
      </c>
      <c r="G18" s="7">
        <v>1964766257</v>
      </c>
      <c r="H18" s="6" t="s">
        <v>61</v>
      </c>
      <c r="I18" s="6">
        <v>70000</v>
      </c>
      <c r="J18" s="8">
        <v>39641</v>
      </c>
      <c r="K18" s="6">
        <f t="shared" ca="1" si="1"/>
        <v>24</v>
      </c>
    </row>
    <row r="19" spans="2:11" ht="15.6">
      <c r="B19">
        <v>15</v>
      </c>
      <c r="C19" s="6" t="s">
        <v>34</v>
      </c>
      <c r="D19" s="6">
        <f t="shared" ca="1" si="0"/>
        <v>825</v>
      </c>
      <c r="E19" s="6" t="s">
        <v>20</v>
      </c>
      <c r="F19" s="6" t="s">
        <v>14</v>
      </c>
      <c r="G19" s="7">
        <v>1964766258</v>
      </c>
      <c r="H19" s="6" t="s">
        <v>35</v>
      </c>
      <c r="I19" s="6">
        <v>40000</v>
      </c>
      <c r="J19" s="8">
        <v>41255</v>
      </c>
      <c r="K19" s="6">
        <f t="shared" ca="1" si="1"/>
        <v>25</v>
      </c>
    </row>
    <row r="20" spans="2:11" ht="15.6">
      <c r="B20">
        <v>16</v>
      </c>
      <c r="C20" s="6" t="s">
        <v>83</v>
      </c>
      <c r="D20" s="6">
        <f t="shared" ca="1" si="0"/>
        <v>946</v>
      </c>
      <c r="E20" s="6" t="s">
        <v>20</v>
      </c>
      <c r="F20" s="6" t="s">
        <v>25</v>
      </c>
      <c r="G20" s="7">
        <v>1964766259</v>
      </c>
      <c r="H20" s="6" t="s">
        <v>37</v>
      </c>
      <c r="I20" s="6">
        <v>70000</v>
      </c>
      <c r="J20" s="8">
        <v>45255</v>
      </c>
      <c r="K20" s="6">
        <f t="shared" ca="1" si="1"/>
        <v>37</v>
      </c>
    </row>
    <row r="21" spans="2:11" ht="15.6">
      <c r="B21">
        <v>17</v>
      </c>
      <c r="C21" s="6" t="s">
        <v>19</v>
      </c>
      <c r="D21" s="6">
        <f t="shared" ca="1" si="0"/>
        <v>807</v>
      </c>
      <c r="E21" s="6" t="s">
        <v>20</v>
      </c>
      <c r="F21" s="6" t="s">
        <v>21</v>
      </c>
      <c r="G21" s="7">
        <v>1964766260</v>
      </c>
      <c r="H21" s="6" t="s">
        <v>22</v>
      </c>
      <c r="I21" s="6">
        <v>600000</v>
      </c>
      <c r="J21" s="8">
        <v>41144</v>
      </c>
      <c r="K21" s="6">
        <f t="shared" ca="1" si="1"/>
        <v>34</v>
      </c>
    </row>
    <row r="22" spans="2:11" ht="15.6">
      <c r="B22">
        <v>18</v>
      </c>
      <c r="C22" s="6" t="s">
        <v>27</v>
      </c>
      <c r="D22" s="6">
        <f t="shared" ca="1" si="0"/>
        <v>1065</v>
      </c>
      <c r="E22" s="6" t="s">
        <v>10</v>
      </c>
      <c r="F22" s="6" t="s">
        <v>28</v>
      </c>
      <c r="G22" s="7">
        <v>1964766261</v>
      </c>
      <c r="H22" s="6" t="s">
        <v>29</v>
      </c>
      <c r="I22" s="6">
        <v>40000</v>
      </c>
      <c r="J22" s="8">
        <v>43365</v>
      </c>
      <c r="K22" s="6">
        <f t="shared" ca="1" si="1"/>
        <v>33</v>
      </c>
    </row>
    <row r="23" spans="2:11" ht="15.6">
      <c r="B23">
        <v>19</v>
      </c>
      <c r="C23" s="6" t="s">
        <v>72</v>
      </c>
      <c r="D23" s="6">
        <f t="shared" ca="1" si="0"/>
        <v>1164</v>
      </c>
      <c r="E23" s="6" t="s">
        <v>42</v>
      </c>
      <c r="F23" s="6" t="s">
        <v>28</v>
      </c>
      <c r="G23" s="7">
        <v>1964766262</v>
      </c>
      <c r="H23" s="6" t="s">
        <v>73</v>
      </c>
      <c r="I23" s="6">
        <v>4000</v>
      </c>
      <c r="J23" s="8">
        <v>36821</v>
      </c>
      <c r="K23" s="6">
        <f t="shared" ca="1" si="1"/>
        <v>39</v>
      </c>
    </row>
    <row r="24" spans="2:11" ht="15.6">
      <c r="B24">
        <v>20</v>
      </c>
      <c r="C24" s="6" t="s">
        <v>23</v>
      </c>
      <c r="D24" s="6">
        <f t="shared" ca="1" si="0"/>
        <v>493</v>
      </c>
      <c r="E24" s="6" t="s">
        <v>24</v>
      </c>
      <c r="F24" s="6" t="s">
        <v>25</v>
      </c>
      <c r="G24" s="7">
        <v>1964766263</v>
      </c>
      <c r="H24" s="6" t="s">
        <v>26</v>
      </c>
      <c r="I24" s="6">
        <v>20000</v>
      </c>
      <c r="J24" s="8">
        <v>38394</v>
      </c>
      <c r="K24" s="6">
        <f t="shared" ca="1" si="1"/>
        <v>30</v>
      </c>
    </row>
    <row r="25" spans="2:11" ht="15.6">
      <c r="B25">
        <v>21</v>
      </c>
      <c r="C25" s="6" t="s">
        <v>30</v>
      </c>
      <c r="D25" s="6">
        <f t="shared" ca="1" si="0"/>
        <v>634</v>
      </c>
      <c r="E25" s="6" t="s">
        <v>24</v>
      </c>
      <c r="F25" s="6" t="s">
        <v>21</v>
      </c>
      <c r="G25" s="7">
        <v>1964766264</v>
      </c>
      <c r="H25" s="6" t="s">
        <v>31</v>
      </c>
      <c r="I25" s="6">
        <v>2000</v>
      </c>
      <c r="J25" s="8">
        <v>40508</v>
      </c>
      <c r="K25" s="6">
        <f t="shared" ca="1" si="1"/>
        <v>37</v>
      </c>
    </row>
    <row r="26" spans="2:11" ht="15.6">
      <c r="B26">
        <v>22</v>
      </c>
      <c r="C26" s="6" t="s">
        <v>74</v>
      </c>
      <c r="D26" s="6">
        <f t="shared" ca="1" si="0"/>
        <v>843</v>
      </c>
      <c r="E26" s="6" t="s">
        <v>24</v>
      </c>
      <c r="F26" s="6" t="s">
        <v>14</v>
      </c>
      <c r="G26" s="7">
        <v>1964766265</v>
      </c>
      <c r="H26" s="6" t="s">
        <v>64</v>
      </c>
      <c r="I26" s="6">
        <v>40000</v>
      </c>
      <c r="J26" s="8">
        <v>44649</v>
      </c>
      <c r="K26" s="6">
        <f t="shared" ca="1" si="1"/>
        <v>36</v>
      </c>
    </row>
    <row r="27" spans="2:11" ht="15.6">
      <c r="B27">
        <v>23</v>
      </c>
      <c r="C27" s="6" t="s">
        <v>80</v>
      </c>
      <c r="D27" s="6">
        <f t="shared" ca="1" si="0"/>
        <v>553</v>
      </c>
      <c r="E27" s="6" t="s">
        <v>42</v>
      </c>
      <c r="F27" s="6" t="s">
        <v>46</v>
      </c>
      <c r="G27" s="7">
        <v>1964766266</v>
      </c>
      <c r="H27" s="6" t="s">
        <v>12</v>
      </c>
      <c r="I27" s="6">
        <v>40000</v>
      </c>
      <c r="J27" s="8">
        <v>39641</v>
      </c>
      <c r="K27" s="6">
        <f t="shared" ca="1" si="1"/>
        <v>33</v>
      </c>
    </row>
    <row r="28" spans="2:11" ht="15.6">
      <c r="B28">
        <v>24</v>
      </c>
      <c r="C28" s="6" t="s">
        <v>76</v>
      </c>
      <c r="D28" s="6">
        <f t="shared" ca="1" si="0"/>
        <v>1124</v>
      </c>
      <c r="E28" s="6" t="s">
        <v>45</v>
      </c>
      <c r="F28" s="6" t="s">
        <v>49</v>
      </c>
      <c r="G28" s="7">
        <v>1964766267</v>
      </c>
      <c r="H28" s="6" t="s">
        <v>15</v>
      </c>
      <c r="I28" s="6">
        <v>30000</v>
      </c>
      <c r="J28" s="8">
        <v>41255</v>
      </c>
      <c r="K28" s="6">
        <f t="shared" ca="1" si="1"/>
        <v>26</v>
      </c>
    </row>
    <row r="29" spans="2:11" ht="15.6">
      <c r="B29">
        <v>25</v>
      </c>
      <c r="C29" s="6" t="s">
        <v>56</v>
      </c>
      <c r="D29" s="6">
        <f t="shared" ca="1" si="0"/>
        <v>560</v>
      </c>
      <c r="E29" s="6" t="s">
        <v>45</v>
      </c>
      <c r="F29" s="6" t="s">
        <v>11</v>
      </c>
      <c r="G29" s="7">
        <v>1964766268</v>
      </c>
      <c r="H29" s="6" t="s">
        <v>57</v>
      </c>
      <c r="I29" s="6">
        <v>40000</v>
      </c>
      <c r="J29" s="8">
        <v>45255</v>
      </c>
      <c r="K29" s="6">
        <f t="shared" ca="1" si="1"/>
        <v>31</v>
      </c>
    </row>
    <row r="30" spans="2:11" ht="15.6">
      <c r="B30">
        <v>26</v>
      </c>
      <c r="C30" s="6" t="s">
        <v>13</v>
      </c>
      <c r="D30" s="6">
        <f t="shared" ca="1" si="0"/>
        <v>1164</v>
      </c>
      <c r="E30" s="6" t="s">
        <v>45</v>
      </c>
      <c r="F30" s="6" t="s">
        <v>11</v>
      </c>
      <c r="G30" s="7">
        <v>1964766269</v>
      </c>
      <c r="H30" s="6" t="s">
        <v>39</v>
      </c>
      <c r="I30" s="6">
        <v>30000</v>
      </c>
      <c r="J30" s="8">
        <v>41144</v>
      </c>
      <c r="K30" s="6">
        <f t="shared" ca="1" si="1"/>
        <v>29</v>
      </c>
    </row>
    <row r="31" spans="2:11" ht="15.6">
      <c r="B31">
        <v>27</v>
      </c>
      <c r="C31" s="6" t="s">
        <v>54</v>
      </c>
      <c r="D31" s="6">
        <f t="shared" ca="1" si="0"/>
        <v>488</v>
      </c>
      <c r="E31" s="6" t="s">
        <v>45</v>
      </c>
      <c r="F31" s="6" t="s">
        <v>14</v>
      </c>
      <c r="G31" s="7">
        <v>1964766270</v>
      </c>
      <c r="H31" s="6" t="s">
        <v>43</v>
      </c>
      <c r="I31" s="6">
        <v>20000</v>
      </c>
      <c r="J31" s="8">
        <v>43365</v>
      </c>
      <c r="K31" s="6">
        <f t="shared" ca="1" si="1"/>
        <v>24</v>
      </c>
    </row>
    <row r="32" spans="2:11" ht="15.6">
      <c r="B32">
        <v>28</v>
      </c>
      <c r="C32" s="6" t="s">
        <v>62</v>
      </c>
      <c r="D32" s="6">
        <f t="shared" ca="1" si="0"/>
        <v>478</v>
      </c>
      <c r="E32" s="6" t="s">
        <v>10</v>
      </c>
      <c r="F32" s="6" t="s">
        <v>14</v>
      </c>
      <c r="G32" s="7">
        <v>1964766271</v>
      </c>
      <c r="H32" s="6" t="s">
        <v>55</v>
      </c>
      <c r="I32" s="6">
        <v>50000</v>
      </c>
      <c r="J32" s="8">
        <v>36821</v>
      </c>
      <c r="K32" s="6">
        <f t="shared" ca="1" si="1"/>
        <v>27</v>
      </c>
    </row>
    <row r="33" spans="2:11" ht="15.6">
      <c r="B33">
        <v>29</v>
      </c>
      <c r="C33" s="6" t="s">
        <v>58</v>
      </c>
      <c r="D33" s="6">
        <f t="shared" ca="1" si="0"/>
        <v>1110</v>
      </c>
      <c r="E33" s="6" t="s">
        <v>10</v>
      </c>
      <c r="F33" s="6" t="s">
        <v>46</v>
      </c>
      <c r="G33" s="7">
        <v>1964766272</v>
      </c>
      <c r="H33" s="6" t="s">
        <v>59</v>
      </c>
      <c r="I33" s="6">
        <v>30000</v>
      </c>
      <c r="J33" s="8">
        <v>38394</v>
      </c>
      <c r="K33" s="6">
        <f t="shared" ca="1" si="1"/>
        <v>32</v>
      </c>
    </row>
    <row r="34" spans="2:11" ht="15.6">
      <c r="B34">
        <v>30</v>
      </c>
      <c r="C34" s="6" t="s">
        <v>86</v>
      </c>
      <c r="D34" s="6">
        <f t="shared" ca="1" si="0"/>
        <v>622</v>
      </c>
      <c r="E34" s="6" t="s">
        <v>10</v>
      </c>
      <c r="F34" s="6" t="s">
        <v>49</v>
      </c>
      <c r="G34" s="7">
        <v>1964766273</v>
      </c>
      <c r="H34" s="6" t="s">
        <v>47</v>
      </c>
      <c r="I34" s="6">
        <v>30000</v>
      </c>
      <c r="J34" s="8">
        <v>40508</v>
      </c>
      <c r="K34" s="6">
        <f t="shared" ca="1" si="1"/>
        <v>35</v>
      </c>
    </row>
    <row r="35" spans="2:11" ht="15.6">
      <c r="B35">
        <v>31</v>
      </c>
      <c r="C35" s="6" t="s">
        <v>32</v>
      </c>
      <c r="D35" s="6">
        <f t="shared" ca="1" si="0"/>
        <v>662</v>
      </c>
      <c r="E35" s="6" t="s">
        <v>42</v>
      </c>
      <c r="F35" s="6" t="s">
        <v>46</v>
      </c>
      <c r="G35" s="7">
        <v>1964766274</v>
      </c>
      <c r="H35" s="6" t="s">
        <v>68</v>
      </c>
      <c r="I35" s="6">
        <v>400000</v>
      </c>
      <c r="J35" s="8">
        <v>44649</v>
      </c>
      <c r="K35" s="6">
        <f t="shared" ca="1" si="1"/>
        <v>40</v>
      </c>
    </row>
    <row r="36" spans="2:11" ht="15.6">
      <c r="B36">
        <v>32</v>
      </c>
      <c r="C36" s="6" t="s">
        <v>48</v>
      </c>
      <c r="D36" s="6">
        <f t="shared" ca="1" si="0"/>
        <v>1111</v>
      </c>
      <c r="E36" s="6" t="s">
        <v>42</v>
      </c>
      <c r="F36" s="6" t="s">
        <v>49</v>
      </c>
      <c r="G36" s="7">
        <v>1964766275</v>
      </c>
      <c r="H36" s="6" t="s">
        <v>50</v>
      </c>
      <c r="I36" s="6">
        <v>40000</v>
      </c>
      <c r="J36" s="8">
        <v>39641</v>
      </c>
      <c r="K36" s="6">
        <f t="shared" ca="1" si="1"/>
        <v>32</v>
      </c>
    </row>
    <row r="37" spans="2:11" ht="15.6">
      <c r="B37">
        <v>33</v>
      </c>
      <c r="C37" s="6" t="s">
        <v>52</v>
      </c>
      <c r="D37" s="6">
        <f t="shared" ca="1" si="0"/>
        <v>1160</v>
      </c>
      <c r="E37" s="6" t="s">
        <v>42</v>
      </c>
      <c r="F37" s="6" t="s">
        <v>14</v>
      </c>
      <c r="G37" s="7">
        <v>1964766276</v>
      </c>
      <c r="H37" s="6" t="s">
        <v>53</v>
      </c>
      <c r="I37" s="6">
        <v>50000</v>
      </c>
      <c r="J37" s="8">
        <v>41255</v>
      </c>
      <c r="K37" s="6">
        <f t="shared" ca="1" si="1"/>
        <v>30</v>
      </c>
    </row>
    <row r="38" spans="2:11" ht="15.6">
      <c r="B38">
        <v>34</v>
      </c>
      <c r="C38" s="6" t="s">
        <v>82</v>
      </c>
      <c r="D38" s="6">
        <f t="shared" ca="1" si="0"/>
        <v>408</v>
      </c>
      <c r="E38" s="6" t="s">
        <v>20</v>
      </c>
      <c r="F38" s="6" t="s">
        <v>14</v>
      </c>
      <c r="G38" s="7">
        <v>1964766277</v>
      </c>
      <c r="H38" s="6" t="s">
        <v>61</v>
      </c>
      <c r="I38" s="6">
        <v>30000</v>
      </c>
      <c r="J38" s="8">
        <v>45255</v>
      </c>
      <c r="K38" s="6">
        <f t="shared" ca="1" si="1"/>
        <v>29</v>
      </c>
    </row>
    <row r="39" spans="2:11" ht="15.6">
      <c r="B39">
        <v>35</v>
      </c>
      <c r="C39" s="6" t="s">
        <v>65</v>
      </c>
      <c r="D39" s="6">
        <f t="shared" ca="1" si="0"/>
        <v>564</v>
      </c>
      <c r="E39" s="6" t="s">
        <v>20</v>
      </c>
      <c r="F39" s="6" t="s">
        <v>21</v>
      </c>
      <c r="G39" s="7">
        <v>1964766278</v>
      </c>
      <c r="H39" s="6" t="s">
        <v>35</v>
      </c>
      <c r="I39" s="6">
        <v>400000</v>
      </c>
      <c r="J39" s="8">
        <v>41144</v>
      </c>
      <c r="K39" s="6">
        <f t="shared" ca="1" si="1"/>
        <v>29</v>
      </c>
    </row>
    <row r="40" spans="2:11" ht="15.6">
      <c r="B40">
        <v>36</v>
      </c>
      <c r="C40" s="6" t="s">
        <v>36</v>
      </c>
      <c r="D40" s="6">
        <f t="shared" ca="1" si="0"/>
        <v>1167</v>
      </c>
      <c r="E40" s="6" t="s">
        <v>20</v>
      </c>
      <c r="F40" s="6" t="s">
        <v>21</v>
      </c>
      <c r="G40" s="7">
        <v>1964766279</v>
      </c>
      <c r="H40" s="6" t="s">
        <v>37</v>
      </c>
      <c r="I40" s="6">
        <v>20000</v>
      </c>
      <c r="J40" s="8">
        <v>43365</v>
      </c>
      <c r="K40" s="6">
        <f t="shared" ca="1" si="1"/>
        <v>21</v>
      </c>
    </row>
    <row r="41" spans="2:11" ht="15.6">
      <c r="B41">
        <v>37</v>
      </c>
      <c r="C41" s="6" t="s">
        <v>40</v>
      </c>
      <c r="D41" s="6">
        <f t="shared" ca="1" si="0"/>
        <v>1153</v>
      </c>
      <c r="E41" s="6" t="s">
        <v>20</v>
      </c>
      <c r="F41" s="6" t="s">
        <v>25</v>
      </c>
      <c r="G41" s="7">
        <v>1964766280</v>
      </c>
      <c r="H41" s="6" t="s">
        <v>22</v>
      </c>
      <c r="I41" s="6">
        <v>60000</v>
      </c>
      <c r="J41" s="8">
        <v>36821</v>
      </c>
      <c r="K41" s="6">
        <f t="shared" ca="1" si="1"/>
        <v>29</v>
      </c>
    </row>
    <row r="42" spans="2:11" ht="15.6">
      <c r="B42">
        <v>38</v>
      </c>
      <c r="C42" s="6" t="s">
        <v>32</v>
      </c>
      <c r="D42" s="6">
        <f t="shared" ca="1" si="0"/>
        <v>782</v>
      </c>
      <c r="E42" s="6" t="s">
        <v>33</v>
      </c>
      <c r="F42" s="6" t="s">
        <v>25</v>
      </c>
      <c r="G42" s="7">
        <v>1964766281</v>
      </c>
      <c r="H42" s="6" t="s">
        <v>29</v>
      </c>
      <c r="I42" s="6">
        <v>30000</v>
      </c>
      <c r="J42" s="8">
        <v>38394</v>
      </c>
      <c r="K42" s="6">
        <f t="shared" ca="1" si="1"/>
        <v>25</v>
      </c>
    </row>
    <row r="43" spans="2:11" ht="15.6">
      <c r="B43">
        <v>39</v>
      </c>
      <c r="C43" s="6" t="s">
        <v>9</v>
      </c>
      <c r="D43" s="6">
        <f t="shared" ca="1" si="0"/>
        <v>446</v>
      </c>
      <c r="E43" s="6" t="s">
        <v>33</v>
      </c>
      <c r="F43" s="6" t="s">
        <v>17</v>
      </c>
      <c r="G43" s="7">
        <v>1964766282</v>
      </c>
      <c r="H43" s="6" t="s">
        <v>73</v>
      </c>
      <c r="I43" s="6">
        <v>60000</v>
      </c>
      <c r="J43" s="8">
        <v>40508</v>
      </c>
      <c r="K43" s="6">
        <f t="shared" ca="1" si="1"/>
        <v>21</v>
      </c>
    </row>
    <row r="44" spans="2:11" ht="15.6">
      <c r="B44">
        <v>40</v>
      </c>
      <c r="C44" s="6" t="s">
        <v>51</v>
      </c>
      <c r="D44" s="6">
        <f t="shared" ca="1" si="0"/>
        <v>533</v>
      </c>
      <c r="E44" s="6" t="s">
        <v>33</v>
      </c>
      <c r="F44" s="6" t="s">
        <v>17</v>
      </c>
      <c r="G44" s="7">
        <v>1964766283</v>
      </c>
      <c r="H44" s="6" t="s">
        <v>26</v>
      </c>
      <c r="I44" s="6">
        <v>40000</v>
      </c>
      <c r="J44" s="8">
        <v>44649</v>
      </c>
      <c r="K44" s="6">
        <f t="shared" ca="1" si="1"/>
        <v>27</v>
      </c>
    </row>
    <row r="45" spans="2:11" ht="15.6">
      <c r="B45">
        <v>41</v>
      </c>
      <c r="C45" s="6" t="s">
        <v>77</v>
      </c>
      <c r="D45" s="6">
        <f t="shared" ca="1" si="0"/>
        <v>932</v>
      </c>
      <c r="E45" s="6" t="s">
        <v>10</v>
      </c>
      <c r="F45" s="6" t="s">
        <v>25</v>
      </c>
      <c r="G45" s="7">
        <v>1964766284</v>
      </c>
      <c r="H45" s="6" t="s">
        <v>78</v>
      </c>
      <c r="I45" s="6">
        <v>40000</v>
      </c>
      <c r="J45" s="8">
        <v>39641</v>
      </c>
      <c r="K45" s="6">
        <f t="shared" ca="1" si="1"/>
        <v>33</v>
      </c>
    </row>
    <row r="46" spans="2:11" ht="15.6">
      <c r="B46">
        <v>42</v>
      </c>
      <c r="C46" s="6" t="s">
        <v>16</v>
      </c>
      <c r="D46" s="6">
        <f t="shared" ca="1" si="0"/>
        <v>728</v>
      </c>
      <c r="E46" s="6" t="s">
        <v>10</v>
      </c>
      <c r="F46" s="6" t="s">
        <v>17</v>
      </c>
      <c r="G46" s="7">
        <v>1964766285</v>
      </c>
      <c r="H46" s="6" t="s">
        <v>18</v>
      </c>
      <c r="I46" s="6">
        <v>20000</v>
      </c>
      <c r="J46" s="8">
        <v>41255</v>
      </c>
      <c r="K46" s="6">
        <f t="shared" ca="1" si="1"/>
        <v>33</v>
      </c>
    </row>
    <row r="47" spans="2:11" ht="15.6">
      <c r="B47">
        <v>43</v>
      </c>
      <c r="C47" s="6" t="s">
        <v>66</v>
      </c>
      <c r="D47" s="6">
        <f t="shared" ca="1" si="0"/>
        <v>541</v>
      </c>
      <c r="E47" s="6" t="s">
        <v>42</v>
      </c>
      <c r="F47" s="6" t="s">
        <v>21</v>
      </c>
      <c r="G47" s="7">
        <v>1964766286</v>
      </c>
      <c r="H47" s="6" t="s">
        <v>67</v>
      </c>
      <c r="I47" s="6">
        <v>50000</v>
      </c>
      <c r="J47" s="8">
        <v>45255</v>
      </c>
      <c r="K47" s="6">
        <f t="shared" ca="1" si="1"/>
        <v>24</v>
      </c>
    </row>
    <row r="48" spans="2:11" ht="15.6">
      <c r="B48">
        <v>44</v>
      </c>
      <c r="C48" s="6" t="s">
        <v>79</v>
      </c>
      <c r="D48" s="6">
        <f t="shared" ca="1" si="0"/>
        <v>1078</v>
      </c>
      <c r="E48" s="6" t="s">
        <v>42</v>
      </c>
      <c r="F48" s="6" t="s">
        <v>14</v>
      </c>
      <c r="G48" s="7">
        <v>1964766287</v>
      </c>
      <c r="H48" s="6" t="s">
        <v>43</v>
      </c>
      <c r="I48" s="6">
        <v>30000</v>
      </c>
      <c r="J48" s="8">
        <v>41144</v>
      </c>
      <c r="K48" s="6">
        <f t="shared" ca="1" si="1"/>
        <v>35</v>
      </c>
    </row>
    <row r="49" spans="2:11" ht="15.6">
      <c r="B49">
        <v>45</v>
      </c>
      <c r="C49" s="6" t="s">
        <v>84</v>
      </c>
      <c r="D49" s="6">
        <f t="shared" ca="1" si="0"/>
        <v>832</v>
      </c>
      <c r="E49" s="6" t="s">
        <v>24</v>
      </c>
      <c r="F49" s="6" t="s">
        <v>14</v>
      </c>
      <c r="G49" s="7">
        <v>1964766288</v>
      </c>
      <c r="H49" s="6" t="s">
        <v>55</v>
      </c>
      <c r="I49" s="6">
        <v>20000</v>
      </c>
      <c r="J49" s="8">
        <v>43365</v>
      </c>
      <c r="K49" s="6">
        <f t="shared" ca="1" si="1"/>
        <v>27</v>
      </c>
    </row>
    <row r="50" spans="2:11" ht="15.6">
      <c r="B50">
        <v>46</v>
      </c>
      <c r="C50" s="6" t="s">
        <v>63</v>
      </c>
      <c r="D50" s="6">
        <f t="shared" ca="1" si="0"/>
        <v>813</v>
      </c>
      <c r="E50" s="6" t="s">
        <v>24</v>
      </c>
      <c r="F50" s="6" t="s">
        <v>14</v>
      </c>
      <c r="G50" s="7">
        <v>1964766289</v>
      </c>
      <c r="H50" s="6" t="s">
        <v>61</v>
      </c>
      <c r="I50" s="6">
        <v>30000</v>
      </c>
      <c r="J50" s="8">
        <v>36821</v>
      </c>
      <c r="K50" s="6">
        <f t="shared" ca="1" si="1"/>
        <v>36</v>
      </c>
    </row>
    <row r="51" spans="2:11" ht="15.6">
      <c r="B51">
        <v>47</v>
      </c>
      <c r="C51" s="6" t="s">
        <v>81</v>
      </c>
      <c r="D51" s="6">
        <f t="shared" ca="1" si="0"/>
        <v>1009</v>
      </c>
      <c r="E51" s="6" t="s">
        <v>24</v>
      </c>
      <c r="F51" s="6" t="s">
        <v>17</v>
      </c>
      <c r="G51" s="7">
        <v>1964766290</v>
      </c>
      <c r="H51" s="6" t="s">
        <v>64</v>
      </c>
      <c r="I51" s="6">
        <v>40000</v>
      </c>
      <c r="J51" s="8">
        <v>38394</v>
      </c>
      <c r="K51" s="6">
        <f t="shared" ca="1" si="1"/>
        <v>27</v>
      </c>
    </row>
  </sheetData>
  <sortState ref="D64:O78">
    <sortCondition descending="1" ref="L64:L78"/>
  </sortState>
  <dataValidations count="2">
    <dataValidation type="list" allowBlank="1" showInputMessage="1" showErrorMessage="1" sqref="H1">
      <formula1>$C$5:$C$51</formula1>
    </dataValidation>
    <dataValidation type="list" allowBlank="1" showInputMessage="1" showErrorMessage="1" sqref="H2">
      <formula1>$C$4:$K$4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revision/>
  <dcterms:created xsi:type="dcterms:W3CDTF">2025-10-27T02:28:43Z</dcterms:created>
  <dcterms:modified xsi:type="dcterms:W3CDTF">2025-11-06T08:19:37Z</dcterms:modified>
</cp:coreProperties>
</file>