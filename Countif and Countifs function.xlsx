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-132" windowWidth="22980" windowHeight="883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6" i="1" l="1"/>
  <c r="J15" i="1"/>
  <c r="I16" i="1"/>
  <c r="I15" i="1"/>
  <c r="H16" i="1"/>
  <c r="H15" i="1"/>
  <c r="G16" i="1"/>
  <c r="G15" i="1"/>
  <c r="F3" i="1"/>
  <c r="H4" i="1"/>
  <c r="H5" i="1"/>
  <c r="H6" i="1"/>
  <c r="H7" i="1"/>
  <c r="H8" i="1"/>
  <c r="H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<sst xmlns="http://schemas.openxmlformats.org/spreadsheetml/2006/main" count="153" uniqueCount="28">
  <si>
    <t>Employee Name</t>
  </si>
  <si>
    <t>DSR Number</t>
  </si>
  <si>
    <t>Masud</t>
  </si>
  <si>
    <t>Rana</t>
  </si>
  <si>
    <t>Dilder</t>
  </si>
  <si>
    <t>Habib</t>
  </si>
  <si>
    <t>Raju</t>
  </si>
  <si>
    <t>Rony</t>
  </si>
  <si>
    <t>Khairul</t>
  </si>
  <si>
    <t>Sohag</t>
  </si>
  <si>
    <t>Sohel</t>
  </si>
  <si>
    <t>How many Agent is allocated</t>
  </si>
  <si>
    <t>How many Agent number is allocated</t>
  </si>
  <si>
    <t>Party Name</t>
  </si>
  <si>
    <t>Payment Mode</t>
  </si>
  <si>
    <t>Countifs</t>
  </si>
  <si>
    <t>IBM</t>
  </si>
  <si>
    <t>Zenith</t>
  </si>
  <si>
    <t>NEFT</t>
  </si>
  <si>
    <t>Cash</t>
  </si>
  <si>
    <t>Amount</t>
  </si>
  <si>
    <t>TCS</t>
  </si>
  <si>
    <t>Cheque</t>
  </si>
  <si>
    <t>CountIf function</t>
  </si>
  <si>
    <t>Countif</t>
  </si>
  <si>
    <t>sumif</t>
  </si>
  <si>
    <t>sumifs</t>
  </si>
  <si>
    <t>Countif / Countifs and Sumif / 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</si>
</sst>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\-000\-000"/>
  </numFmts>
  <fonts count="8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FFFF00"/>
      <name val="Times New Roman"/>
      <family val="1"/>
    </font>
    <font>
      <b/>
      <sz val="26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4"/>
    </xf>
    <xf numFmtId="0" fontId="1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0000\-000\-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2:C87" totalsRowShown="0" headerRowDxfId="8" dataDxfId="7">
  <autoFilter ref="B2:C87"/>
  <tableColumns count="2">
    <tableColumn id="1" name="DSR Number" dataDxfId="6"/>
    <tableColumn id="2" name="Employee Nam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E18:G37" totalsRowShown="0" headerRowDxfId="0" dataDxfId="1">
  <autoFilter ref="E18:G37">
    <filterColumn colId="0">
      <filters>
        <filter val="Zenith"/>
      </filters>
    </filterColumn>
  </autoFilter>
  <tableColumns count="3">
    <tableColumn id="1" name="Party Name" dataDxfId="4"/>
    <tableColumn id="2" name="Payment Mode" dataDxfId="3"/>
    <tableColumn id="3" name="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7"/>
  <sheetViews>
    <sheetView tabSelected="1" workbookViewId="0">
      <selection activeCell="I9" sqref="I9"/>
    </sheetView>
  </sheetViews>
  <sheetFormatPr defaultRowHeight="14.4" x14ac:dyDescent="0.3"/>
  <cols>
    <col min="2" max="2" width="21" customWidth="1"/>
    <col min="3" max="3" width="21.33203125" customWidth="1"/>
    <col min="5" max="5" width="15.77734375" customWidth="1"/>
    <col min="6" max="6" width="30.88671875" customWidth="1"/>
    <col min="7" max="7" width="16.88671875" customWidth="1"/>
    <col min="8" max="8" width="33.21875" customWidth="1"/>
    <col min="9" max="9" width="17.33203125" customWidth="1"/>
    <col min="10" max="10" width="13.33203125" customWidth="1"/>
  </cols>
  <sheetData>
    <row r="1" spans="2:10" ht="24.6" x14ac:dyDescent="0.3">
      <c r="E1" s="12" t="s">
        <v>23</v>
      </c>
      <c r="F1" s="12"/>
      <c r="G1" s="12"/>
      <c r="H1" s="12"/>
    </row>
    <row r="2" spans="2:10" x14ac:dyDescent="0.3">
      <c r="B2" s="1" t="s">
        <v>1</v>
      </c>
      <c r="C2" s="1" t="s">
        <v>0</v>
      </c>
      <c r="E2" s="3" t="s">
        <v>0</v>
      </c>
      <c r="F2" s="4" t="s">
        <v>11</v>
      </c>
      <c r="G2" s="3" t="s">
        <v>1</v>
      </c>
      <c r="H2" s="4" t="s">
        <v>12</v>
      </c>
    </row>
    <row r="3" spans="2:10" x14ac:dyDescent="0.3">
      <c r="B3" s="2">
        <v>1964766244</v>
      </c>
      <c r="C3" s="1" t="s">
        <v>2</v>
      </c>
      <c r="E3" s="6" t="s">
        <v>2</v>
      </c>
      <c r="F3" s="4">
        <f>COUNTIF(Table1[[#All],[Employee Name]],E3)</f>
        <v>6</v>
      </c>
      <c r="G3" s="5">
        <v>1964766244</v>
      </c>
      <c r="H3" s="4">
        <f>COUNTIF(Table1[[#All],[DSR Number]],G3)</f>
        <v>13</v>
      </c>
    </row>
    <row r="4" spans="2:10" x14ac:dyDescent="0.3">
      <c r="B4" s="2">
        <v>1964766255</v>
      </c>
      <c r="C4" s="1" t="s">
        <v>3</v>
      </c>
      <c r="E4" s="3" t="s">
        <v>3</v>
      </c>
      <c r="F4" s="4">
        <f>COUNTIF(Table1[[#All],[Employee Name]],E4)</f>
        <v>6</v>
      </c>
      <c r="G4" s="5">
        <v>1964766255</v>
      </c>
      <c r="H4" s="4">
        <f>COUNTIF(Table1[[#All],[DSR Number]],G4)</f>
        <v>15</v>
      </c>
    </row>
    <row r="5" spans="2:10" x14ac:dyDescent="0.3">
      <c r="B5" s="2">
        <v>1964766266</v>
      </c>
      <c r="C5" s="1" t="s">
        <v>4</v>
      </c>
      <c r="E5" s="3" t="s">
        <v>4</v>
      </c>
      <c r="F5" s="4">
        <f>COUNTIF(Table1[[#All],[Employee Name]],E5)</f>
        <v>10</v>
      </c>
      <c r="G5" s="5">
        <v>1964766266</v>
      </c>
      <c r="H5" s="4">
        <f>COUNTIF(Table1[[#All],[DSR Number]],G5)</f>
        <v>14</v>
      </c>
    </row>
    <row r="6" spans="2:10" x14ac:dyDescent="0.3">
      <c r="B6" s="2">
        <v>1964766277</v>
      </c>
      <c r="C6" s="1" t="s">
        <v>5</v>
      </c>
      <c r="E6" s="3" t="s">
        <v>5</v>
      </c>
      <c r="F6" s="4">
        <f>COUNTIF(Table1[[#All],[Employee Name]],E6)</f>
        <v>13</v>
      </c>
      <c r="G6" s="5">
        <v>1964766277</v>
      </c>
      <c r="H6" s="4">
        <f>COUNTIF(Table1[[#All],[DSR Number]],G6)</f>
        <v>10</v>
      </c>
    </row>
    <row r="7" spans="2:10" x14ac:dyDescent="0.3">
      <c r="B7" s="2">
        <v>1964766288</v>
      </c>
      <c r="C7" s="1" t="s">
        <v>6</v>
      </c>
      <c r="E7" s="3" t="s">
        <v>6</v>
      </c>
      <c r="F7" s="4">
        <f>COUNTIF(Table1[[#All],[Employee Name]],E7)</f>
        <v>13</v>
      </c>
      <c r="G7" s="5">
        <v>1964766288</v>
      </c>
      <c r="H7" s="4">
        <f>COUNTIF(Table1[[#All],[DSR Number]],G7)</f>
        <v>15</v>
      </c>
    </row>
    <row r="8" spans="2:10" x14ac:dyDescent="0.3">
      <c r="B8" s="2">
        <v>1964766299</v>
      </c>
      <c r="C8" s="1" t="s">
        <v>7</v>
      </c>
      <c r="E8" s="3" t="s">
        <v>7</v>
      </c>
      <c r="F8" s="4">
        <f>COUNTIF(Table1[[#All],[Employee Name]],E8)</f>
        <v>13</v>
      </c>
      <c r="G8" s="5">
        <v>1964766299</v>
      </c>
      <c r="H8" s="4">
        <f>COUNTIF(Table1[[#All],[DSR Number]],G8)</f>
        <v>18</v>
      </c>
    </row>
    <row r="9" spans="2:10" x14ac:dyDescent="0.3">
      <c r="B9" s="2">
        <v>1964766244</v>
      </c>
      <c r="C9" s="1" t="s">
        <v>8</v>
      </c>
      <c r="E9" s="3" t="s">
        <v>8</v>
      </c>
      <c r="F9" s="4">
        <f>COUNTIF(Table1[[#All],[Employee Name]],E9)</f>
        <v>8</v>
      </c>
    </row>
    <row r="10" spans="2:10" x14ac:dyDescent="0.3">
      <c r="B10" s="2">
        <v>1964766255</v>
      </c>
      <c r="C10" s="1" t="s">
        <v>9</v>
      </c>
      <c r="E10" s="3" t="s">
        <v>9</v>
      </c>
      <c r="F10" s="4">
        <f>COUNTIF(Table1[[#All],[Employee Name]],E10)</f>
        <v>8</v>
      </c>
    </row>
    <row r="11" spans="2:10" x14ac:dyDescent="0.3">
      <c r="B11" s="2">
        <v>1964766266</v>
      </c>
      <c r="C11" s="1" t="s">
        <v>10</v>
      </c>
      <c r="E11" s="3" t="s">
        <v>10</v>
      </c>
      <c r="F11" s="4">
        <f>COUNTIF(Table1[[#All],[Employee Name]],E11)</f>
        <v>8</v>
      </c>
    </row>
    <row r="12" spans="2:10" x14ac:dyDescent="0.3">
      <c r="B12" s="2">
        <v>1964766277</v>
      </c>
      <c r="C12" s="1" t="s">
        <v>2</v>
      </c>
    </row>
    <row r="13" spans="2:10" ht="31.8" x14ac:dyDescent="0.3">
      <c r="B13" s="2">
        <v>1964766288</v>
      </c>
      <c r="C13" s="1" t="s">
        <v>3</v>
      </c>
      <c r="E13" s="14" t="s">
        <v>27</v>
      </c>
      <c r="F13" s="14"/>
      <c r="G13" s="14"/>
      <c r="H13" s="14"/>
      <c r="I13" s="14"/>
      <c r="J13" s="14"/>
    </row>
    <row r="14" spans="2:10" ht="18" x14ac:dyDescent="0.3">
      <c r="B14" s="2">
        <v>1964766299</v>
      </c>
      <c r="C14" s="1" t="s">
        <v>4</v>
      </c>
      <c r="E14" s="8" t="s">
        <v>13</v>
      </c>
      <c r="F14" s="9" t="s">
        <v>14</v>
      </c>
      <c r="G14" s="9" t="s">
        <v>24</v>
      </c>
      <c r="H14" s="8" t="s">
        <v>15</v>
      </c>
      <c r="I14" s="8" t="s">
        <v>25</v>
      </c>
      <c r="J14" s="8" t="s">
        <v>26</v>
      </c>
    </row>
    <row r="15" spans="2:10" ht="18" x14ac:dyDescent="0.3">
      <c r="B15" s="2">
        <v>1964766244</v>
      </c>
      <c r="C15" s="1" t="s">
        <v>5</v>
      </c>
      <c r="E15" s="8" t="s">
        <v>16</v>
      </c>
      <c r="F15" s="9" t="s">
        <v>18</v>
      </c>
      <c r="G15" s="9">
        <f>COUNTIF(Table2[Party Name],E15)</f>
        <v>6</v>
      </c>
      <c r="H15" s="13">
        <f>COUNTIFS(Table2[Party Name],E15,Table2[Payment Mode],F15)</f>
        <v>3</v>
      </c>
      <c r="I15" s="13">
        <f>SUMIF(Table2[Party Name],E15,Table2[Amount])</f>
        <v>628654</v>
      </c>
      <c r="J15" s="13">
        <f>SUMIFS(Table2[Amount],Table2[Party Name],E15,Table2[Payment Mode],F15)</f>
        <v>576554</v>
      </c>
    </row>
    <row r="16" spans="2:10" ht="18" x14ac:dyDescent="0.3">
      <c r="B16" s="2">
        <v>1964766255</v>
      </c>
      <c r="C16" s="1" t="s">
        <v>6</v>
      </c>
      <c r="E16" s="8" t="s">
        <v>17</v>
      </c>
      <c r="F16" s="9" t="s">
        <v>19</v>
      </c>
      <c r="G16" s="9">
        <f>COUNTIF(Table2[Party Name],E16)</f>
        <v>5</v>
      </c>
      <c r="H16" s="13">
        <f>COUNTIFS(Table2[Party Name],E16,Table2[Payment Mode],F16)</f>
        <v>3</v>
      </c>
      <c r="I16" s="13">
        <f>SUMIF(Table2[Party Name],E16,Table2[Amount])</f>
        <v>101925</v>
      </c>
      <c r="J16" s="13">
        <f>SUMIFS(Table2[Amount],Table2[Party Name],E16,Table2[Payment Mode],F16)</f>
        <v>13946</v>
      </c>
    </row>
    <row r="17" spans="2:7" x14ac:dyDescent="0.3">
      <c r="B17" s="2">
        <v>1964766266</v>
      </c>
      <c r="C17" s="1" t="s">
        <v>7</v>
      </c>
    </row>
    <row r="18" spans="2:7" ht="15.6" x14ac:dyDescent="0.3">
      <c r="B18" s="2">
        <v>1964766277</v>
      </c>
      <c r="C18" s="1" t="s">
        <v>8</v>
      </c>
      <c r="E18" s="10" t="s">
        <v>13</v>
      </c>
      <c r="F18" s="11" t="s">
        <v>14</v>
      </c>
      <c r="G18" s="11" t="s">
        <v>20</v>
      </c>
    </row>
    <row r="19" spans="2:7" hidden="1" x14ac:dyDescent="0.3">
      <c r="B19" s="2">
        <v>1964766288</v>
      </c>
      <c r="C19" s="1" t="s">
        <v>9</v>
      </c>
      <c r="E19" s="7" t="s">
        <v>21</v>
      </c>
      <c r="F19" s="1" t="s">
        <v>18</v>
      </c>
      <c r="G19" s="1">
        <v>80000</v>
      </c>
    </row>
    <row r="20" spans="2:7" hidden="1" x14ac:dyDescent="0.3">
      <c r="B20" s="2">
        <v>1964766299</v>
      </c>
      <c r="C20" s="1" t="s">
        <v>10</v>
      </c>
      <c r="E20" s="7" t="s">
        <v>16</v>
      </c>
      <c r="F20" s="1" t="s">
        <v>18</v>
      </c>
      <c r="G20" s="1">
        <v>500000</v>
      </c>
    </row>
    <row r="21" spans="2:7" hidden="1" x14ac:dyDescent="0.3">
      <c r="B21" s="2">
        <v>1964766255</v>
      </c>
      <c r="C21" s="1" t="s">
        <v>4</v>
      </c>
      <c r="E21" s="7" t="s">
        <v>16</v>
      </c>
      <c r="F21" s="1" t="s">
        <v>22</v>
      </c>
      <c r="G21" s="1">
        <v>3000</v>
      </c>
    </row>
    <row r="22" spans="2:7" hidden="1" x14ac:dyDescent="0.3">
      <c r="B22" s="2">
        <v>1964766266</v>
      </c>
      <c r="C22" s="1" t="s">
        <v>5</v>
      </c>
      <c r="E22" s="7" t="s">
        <v>16</v>
      </c>
      <c r="F22" s="1" t="s">
        <v>19</v>
      </c>
      <c r="G22" s="1">
        <v>48373</v>
      </c>
    </row>
    <row r="23" spans="2:7" hidden="1" x14ac:dyDescent="0.3">
      <c r="B23" s="2">
        <v>1964766277</v>
      </c>
      <c r="C23" s="1" t="s">
        <v>6</v>
      </c>
      <c r="E23" s="7" t="s">
        <v>21</v>
      </c>
      <c r="F23" s="1" t="s">
        <v>19</v>
      </c>
      <c r="G23" s="1">
        <v>872754</v>
      </c>
    </row>
    <row r="24" spans="2:7" hidden="1" x14ac:dyDescent="0.3">
      <c r="B24" s="2">
        <v>1964766288</v>
      </c>
      <c r="C24" s="1" t="s">
        <v>7</v>
      </c>
      <c r="E24" s="7" t="s">
        <v>21</v>
      </c>
      <c r="F24" s="1" t="s">
        <v>18</v>
      </c>
      <c r="G24" s="1">
        <v>7562</v>
      </c>
    </row>
    <row r="25" spans="2:7" x14ac:dyDescent="0.3">
      <c r="B25" s="2">
        <v>1964766299</v>
      </c>
      <c r="C25" s="1" t="s">
        <v>8</v>
      </c>
      <c r="E25" s="7" t="s">
        <v>17</v>
      </c>
      <c r="F25" s="1" t="s">
        <v>18</v>
      </c>
      <c r="G25" s="1">
        <v>652</v>
      </c>
    </row>
    <row r="26" spans="2:7" x14ac:dyDescent="0.3">
      <c r="B26" s="2">
        <v>1964766244</v>
      </c>
      <c r="C26" s="1" t="s">
        <v>9</v>
      </c>
      <c r="E26" s="7" t="s">
        <v>17</v>
      </c>
      <c r="F26" s="1" t="s">
        <v>22</v>
      </c>
      <c r="G26" s="1">
        <v>87327</v>
      </c>
    </row>
    <row r="27" spans="2:7" hidden="1" x14ac:dyDescent="0.3">
      <c r="B27" s="2">
        <v>1964766255</v>
      </c>
      <c r="C27" s="1" t="s">
        <v>10</v>
      </c>
      <c r="E27" s="7" t="s">
        <v>21</v>
      </c>
      <c r="F27" s="1" t="s">
        <v>22</v>
      </c>
      <c r="G27" s="1">
        <v>7527</v>
      </c>
    </row>
    <row r="28" spans="2:7" hidden="1" x14ac:dyDescent="0.3">
      <c r="B28" s="2">
        <v>1964766266</v>
      </c>
      <c r="C28" s="1" t="s">
        <v>2</v>
      </c>
      <c r="E28" s="7" t="s">
        <v>21</v>
      </c>
      <c r="F28" s="1" t="s">
        <v>19</v>
      </c>
      <c r="G28" s="1">
        <v>8725987</v>
      </c>
    </row>
    <row r="29" spans="2:7" x14ac:dyDescent="0.3">
      <c r="B29" s="2">
        <v>1964766277</v>
      </c>
      <c r="C29" s="1" t="s">
        <v>3</v>
      </c>
      <c r="E29" s="7" t="s">
        <v>17</v>
      </c>
      <c r="F29" s="1" t="s">
        <v>19</v>
      </c>
      <c r="G29" s="1">
        <v>2798</v>
      </c>
    </row>
    <row r="30" spans="2:7" hidden="1" x14ac:dyDescent="0.3">
      <c r="B30" s="2">
        <v>1964766288</v>
      </c>
      <c r="C30" s="1" t="s">
        <v>4</v>
      </c>
      <c r="E30" s="7" t="s">
        <v>16</v>
      </c>
      <c r="F30" s="1" t="s">
        <v>22</v>
      </c>
      <c r="G30" s="1">
        <v>727</v>
      </c>
    </row>
    <row r="31" spans="2:7" hidden="1" x14ac:dyDescent="0.3">
      <c r="B31" s="2">
        <v>1964766299</v>
      </c>
      <c r="C31" s="1" t="s">
        <v>5</v>
      </c>
      <c r="E31" s="7" t="s">
        <v>16</v>
      </c>
      <c r="F31" s="1" t="s">
        <v>18</v>
      </c>
      <c r="G31" s="1">
        <v>727</v>
      </c>
    </row>
    <row r="32" spans="2:7" hidden="1" x14ac:dyDescent="0.3">
      <c r="B32" s="2">
        <v>1964766244</v>
      </c>
      <c r="C32" s="1" t="s">
        <v>6</v>
      </c>
      <c r="E32" s="7" t="s">
        <v>16</v>
      </c>
      <c r="F32" s="1" t="s">
        <v>18</v>
      </c>
      <c r="G32" s="1">
        <v>75827</v>
      </c>
    </row>
    <row r="33" spans="2:7" hidden="1" x14ac:dyDescent="0.3">
      <c r="B33" s="2">
        <v>1964766288</v>
      </c>
      <c r="C33" s="1" t="s">
        <v>7</v>
      </c>
      <c r="E33" s="7" t="s">
        <v>21</v>
      </c>
      <c r="F33" s="1" t="s">
        <v>22</v>
      </c>
      <c r="G33" s="1">
        <v>2732</v>
      </c>
    </row>
    <row r="34" spans="2:7" hidden="1" x14ac:dyDescent="0.3">
      <c r="B34" s="2">
        <v>1964766299</v>
      </c>
      <c r="C34" s="1" t="s">
        <v>5</v>
      </c>
      <c r="E34" s="7" t="s">
        <v>21</v>
      </c>
      <c r="F34" s="1" t="s">
        <v>22</v>
      </c>
      <c r="G34" s="1">
        <v>275982</v>
      </c>
    </row>
    <row r="35" spans="2:7" x14ac:dyDescent="0.3">
      <c r="B35" s="2">
        <v>1964766255</v>
      </c>
      <c r="C35" s="1" t="s">
        <v>6</v>
      </c>
      <c r="E35" s="7" t="s">
        <v>17</v>
      </c>
      <c r="F35" s="1" t="s">
        <v>19</v>
      </c>
      <c r="G35" s="1">
        <v>8376</v>
      </c>
    </row>
    <row r="36" spans="2:7" x14ac:dyDescent="0.3">
      <c r="B36" s="2">
        <v>1964766266</v>
      </c>
      <c r="C36" s="1" t="s">
        <v>7</v>
      </c>
      <c r="E36" s="7" t="s">
        <v>17</v>
      </c>
      <c r="F36" s="1" t="s">
        <v>19</v>
      </c>
      <c r="G36" s="1">
        <v>2772</v>
      </c>
    </row>
    <row r="37" spans="2:7" hidden="1" x14ac:dyDescent="0.3">
      <c r="B37" s="2">
        <v>1964766277</v>
      </c>
      <c r="C37" s="1" t="s">
        <v>8</v>
      </c>
      <c r="E37" s="7" t="s">
        <v>21</v>
      </c>
      <c r="F37" s="1" t="s">
        <v>18</v>
      </c>
      <c r="G37" s="1">
        <v>727</v>
      </c>
    </row>
    <row r="38" spans="2:7" x14ac:dyDescent="0.3">
      <c r="B38" s="2">
        <v>1964766288</v>
      </c>
      <c r="C38" s="1" t="s">
        <v>9</v>
      </c>
    </row>
    <row r="39" spans="2:7" x14ac:dyDescent="0.3">
      <c r="B39" s="2">
        <v>1964766299</v>
      </c>
      <c r="C39" s="1" t="s">
        <v>10</v>
      </c>
    </row>
    <row r="40" spans="2:7" x14ac:dyDescent="0.3">
      <c r="B40" s="2">
        <v>1964766244</v>
      </c>
      <c r="C40" s="1" t="s">
        <v>4</v>
      </c>
    </row>
    <row r="41" spans="2:7" x14ac:dyDescent="0.3">
      <c r="B41" s="2">
        <v>1964766255</v>
      </c>
      <c r="C41" s="1" t="s">
        <v>5</v>
      </c>
    </row>
    <row r="42" spans="2:7" x14ac:dyDescent="0.3">
      <c r="B42" s="2">
        <v>1964766299</v>
      </c>
      <c r="C42" s="1" t="s">
        <v>6</v>
      </c>
    </row>
    <row r="43" spans="2:7" x14ac:dyDescent="0.3">
      <c r="B43" s="2">
        <v>1964766244</v>
      </c>
      <c r="C43" s="1" t="s">
        <v>7</v>
      </c>
    </row>
    <row r="44" spans="2:7" x14ac:dyDescent="0.3">
      <c r="B44" s="2">
        <v>1964766255</v>
      </c>
      <c r="C44" s="1" t="s">
        <v>8</v>
      </c>
    </row>
    <row r="45" spans="2:7" x14ac:dyDescent="0.3">
      <c r="B45" s="2">
        <v>1964766266</v>
      </c>
      <c r="C45" s="1" t="s">
        <v>9</v>
      </c>
    </row>
    <row r="46" spans="2:7" x14ac:dyDescent="0.3">
      <c r="B46" s="2">
        <v>1964766277</v>
      </c>
      <c r="C46" s="1" t="s">
        <v>10</v>
      </c>
    </row>
    <row r="47" spans="2:7" x14ac:dyDescent="0.3">
      <c r="B47" s="2">
        <v>1964766288</v>
      </c>
      <c r="C47" s="1" t="s">
        <v>2</v>
      </c>
    </row>
    <row r="48" spans="2:7" x14ac:dyDescent="0.3">
      <c r="B48" s="2">
        <v>1964766299</v>
      </c>
      <c r="C48" s="1" t="s">
        <v>3</v>
      </c>
    </row>
    <row r="49" spans="2:3" x14ac:dyDescent="0.3">
      <c r="B49" s="2">
        <v>1964766244</v>
      </c>
      <c r="C49" s="1" t="s">
        <v>4</v>
      </c>
    </row>
    <row r="50" spans="2:3" x14ac:dyDescent="0.3">
      <c r="B50" s="2">
        <v>1964766288</v>
      </c>
      <c r="C50" s="1" t="s">
        <v>5</v>
      </c>
    </row>
    <row r="51" spans="2:3" x14ac:dyDescent="0.3">
      <c r="B51" s="2">
        <v>1964766299</v>
      </c>
      <c r="C51" s="1" t="s">
        <v>6</v>
      </c>
    </row>
    <row r="52" spans="2:3" x14ac:dyDescent="0.3">
      <c r="B52" s="2">
        <v>1964766255</v>
      </c>
      <c r="C52" s="1" t="s">
        <v>7</v>
      </c>
    </row>
    <row r="53" spans="2:3" x14ac:dyDescent="0.3">
      <c r="B53" s="2">
        <v>1964766266</v>
      </c>
      <c r="C53" s="1" t="s">
        <v>5</v>
      </c>
    </row>
    <row r="54" spans="2:3" x14ac:dyDescent="0.3">
      <c r="B54" s="2">
        <v>1964766299</v>
      </c>
      <c r="C54" s="1" t="s">
        <v>6</v>
      </c>
    </row>
    <row r="55" spans="2:3" x14ac:dyDescent="0.3">
      <c r="B55" s="2">
        <v>1964766244</v>
      </c>
      <c r="C55" s="1" t="s">
        <v>7</v>
      </c>
    </row>
    <row r="56" spans="2:3" x14ac:dyDescent="0.3">
      <c r="B56" s="2">
        <v>1964766255</v>
      </c>
      <c r="C56" s="1" t="s">
        <v>8</v>
      </c>
    </row>
    <row r="57" spans="2:3" x14ac:dyDescent="0.3">
      <c r="B57" s="2">
        <v>1964766266</v>
      </c>
      <c r="C57" s="1" t="s">
        <v>9</v>
      </c>
    </row>
    <row r="58" spans="2:3" x14ac:dyDescent="0.3">
      <c r="B58" s="2">
        <v>1964766277</v>
      </c>
      <c r="C58" s="1" t="s">
        <v>10</v>
      </c>
    </row>
    <row r="59" spans="2:3" x14ac:dyDescent="0.3">
      <c r="B59" s="2">
        <v>1964766288</v>
      </c>
      <c r="C59" s="1" t="s">
        <v>4</v>
      </c>
    </row>
    <row r="60" spans="2:3" x14ac:dyDescent="0.3">
      <c r="B60" s="2">
        <v>1964766299</v>
      </c>
      <c r="C60" s="1" t="s">
        <v>5</v>
      </c>
    </row>
    <row r="61" spans="2:3" x14ac:dyDescent="0.3">
      <c r="B61" s="2">
        <v>1964766244</v>
      </c>
      <c r="C61" s="1" t="s">
        <v>6</v>
      </c>
    </row>
    <row r="62" spans="2:3" x14ac:dyDescent="0.3">
      <c r="B62" s="2">
        <v>1964766288</v>
      </c>
      <c r="C62" s="1" t="s">
        <v>7</v>
      </c>
    </row>
    <row r="63" spans="2:3" x14ac:dyDescent="0.3">
      <c r="B63" s="2">
        <v>1964766299</v>
      </c>
      <c r="C63" s="1" t="s">
        <v>8</v>
      </c>
    </row>
    <row r="64" spans="2:3" x14ac:dyDescent="0.3">
      <c r="B64" s="2">
        <v>1964766255</v>
      </c>
      <c r="C64" s="1" t="s">
        <v>9</v>
      </c>
    </row>
    <row r="65" spans="2:3" x14ac:dyDescent="0.3">
      <c r="B65" s="2">
        <v>1964766266</v>
      </c>
      <c r="C65" s="1" t="s">
        <v>10</v>
      </c>
    </row>
    <row r="66" spans="2:3" x14ac:dyDescent="0.3">
      <c r="B66" s="2">
        <v>1964766299</v>
      </c>
      <c r="C66" s="1" t="s">
        <v>2</v>
      </c>
    </row>
    <row r="67" spans="2:3" x14ac:dyDescent="0.3">
      <c r="B67" s="2">
        <v>1964766244</v>
      </c>
      <c r="C67" s="1" t="s">
        <v>3</v>
      </c>
    </row>
    <row r="68" spans="2:3" x14ac:dyDescent="0.3">
      <c r="B68" s="2">
        <v>1964766255</v>
      </c>
      <c r="C68" s="1" t="s">
        <v>4</v>
      </c>
    </row>
    <row r="69" spans="2:3" x14ac:dyDescent="0.3">
      <c r="B69" s="2">
        <v>1964766266</v>
      </c>
      <c r="C69" s="1" t="s">
        <v>5</v>
      </c>
    </row>
    <row r="70" spans="2:3" x14ac:dyDescent="0.3">
      <c r="B70" s="2">
        <v>1964766277</v>
      </c>
      <c r="C70" s="1" t="s">
        <v>6</v>
      </c>
    </row>
    <row r="71" spans="2:3" x14ac:dyDescent="0.3">
      <c r="B71" s="2">
        <v>1964766288</v>
      </c>
      <c r="C71" s="1" t="s">
        <v>7</v>
      </c>
    </row>
    <row r="72" spans="2:3" x14ac:dyDescent="0.3">
      <c r="B72" s="2">
        <v>1964766299</v>
      </c>
      <c r="C72" s="1" t="s">
        <v>2</v>
      </c>
    </row>
    <row r="73" spans="2:3" x14ac:dyDescent="0.3">
      <c r="B73" s="2">
        <v>1964766244</v>
      </c>
      <c r="C73" s="1" t="s">
        <v>3</v>
      </c>
    </row>
    <row r="74" spans="2:3" x14ac:dyDescent="0.3">
      <c r="B74" s="2">
        <v>1964766288</v>
      </c>
      <c r="C74" s="1" t="s">
        <v>4</v>
      </c>
    </row>
    <row r="75" spans="2:3" x14ac:dyDescent="0.3">
      <c r="B75" s="2">
        <v>1964766299</v>
      </c>
      <c r="C75" s="1" t="s">
        <v>5</v>
      </c>
    </row>
    <row r="76" spans="2:3" x14ac:dyDescent="0.3">
      <c r="B76" s="2">
        <v>1964766255</v>
      </c>
      <c r="C76" s="1" t="s">
        <v>6</v>
      </c>
    </row>
    <row r="77" spans="2:3" x14ac:dyDescent="0.3">
      <c r="B77" s="2">
        <v>1964766266</v>
      </c>
      <c r="C77" s="1" t="s">
        <v>7</v>
      </c>
    </row>
    <row r="78" spans="2:3" x14ac:dyDescent="0.3">
      <c r="B78" s="2">
        <v>1964766277</v>
      </c>
      <c r="C78" s="1" t="s">
        <v>5</v>
      </c>
    </row>
    <row r="79" spans="2:3" x14ac:dyDescent="0.3">
      <c r="B79" s="2">
        <v>1964766288</v>
      </c>
      <c r="C79" s="1" t="s">
        <v>6</v>
      </c>
    </row>
    <row r="80" spans="2:3" x14ac:dyDescent="0.3">
      <c r="B80" s="2">
        <v>1964766299</v>
      </c>
      <c r="C80" s="1" t="s">
        <v>7</v>
      </c>
    </row>
    <row r="81" spans="2:3" x14ac:dyDescent="0.3">
      <c r="B81" s="2">
        <v>1964766244</v>
      </c>
      <c r="C81" s="1" t="s">
        <v>8</v>
      </c>
    </row>
    <row r="82" spans="2:3" x14ac:dyDescent="0.3">
      <c r="B82" s="2">
        <v>1964766288</v>
      </c>
      <c r="C82" s="1" t="s">
        <v>9</v>
      </c>
    </row>
    <row r="83" spans="2:3" x14ac:dyDescent="0.3">
      <c r="B83" s="2">
        <v>1964766299</v>
      </c>
      <c r="C83" s="1" t="s">
        <v>10</v>
      </c>
    </row>
    <row r="84" spans="2:3" x14ac:dyDescent="0.3">
      <c r="B84" s="2">
        <v>1964766255</v>
      </c>
      <c r="C84" s="1" t="s">
        <v>4</v>
      </c>
    </row>
    <row r="85" spans="2:3" x14ac:dyDescent="0.3">
      <c r="B85" s="2">
        <v>1964766266</v>
      </c>
      <c r="C85" s="1" t="s">
        <v>5</v>
      </c>
    </row>
    <row r="86" spans="2:3" x14ac:dyDescent="0.3">
      <c r="B86" s="2">
        <v>1964766255</v>
      </c>
      <c r="C86" s="1" t="s">
        <v>6</v>
      </c>
    </row>
    <row r="87" spans="2:3" x14ac:dyDescent="0.3">
      <c r="B87" s="2">
        <v>1964766266</v>
      </c>
      <c r="C87" s="1" t="s">
        <v>7</v>
      </c>
    </row>
  </sheetData>
  <mergeCells count="2">
    <mergeCell ref="E1:H1"/>
    <mergeCell ref="E13:J13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2025-11-02T03:09:54Z</dcterms:created>
  <dcterms:modified xsi:type="dcterms:W3CDTF">2025-11-02T04:51:43Z</dcterms:modified>
</cp:coreProperties>
</file>