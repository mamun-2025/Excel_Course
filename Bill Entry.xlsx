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876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5" i="1" l="1"/>
  <c r="H6" i="1"/>
  <c r="H7" i="1"/>
  <c r="H8" i="1"/>
  <c r="H9" i="1"/>
  <c r="H10" i="1"/>
  <c r="H11" i="1"/>
  <c r="H12" i="1"/>
  <c r="H13" i="1"/>
  <c r="H14" i="1"/>
  <c r="G6" i="1"/>
  <c r="G7" i="1"/>
  <c r="G8" i="1"/>
  <c r="G9" i="1"/>
  <c r="G10" i="1"/>
  <c r="G11" i="1"/>
  <c r="G12" i="1"/>
  <c r="G13" i="1"/>
  <c r="G14" i="1"/>
  <c r="H5" i="1"/>
  <c r="G5" i="1"/>
  <c r="F6" i="1"/>
  <c r="F7" i="1"/>
  <c r="F8" i="1"/>
  <c r="F9" i="1"/>
  <c r="F10" i="1"/>
  <c r="F11" i="1"/>
  <c r="F12" i="1"/>
  <c r="F13" i="1"/>
  <c r="F14" i="1"/>
  <c r="F5" i="1"/>
</calcChain>
</file>

<file path=xl/sharedStrings.xml><?xml version="1.0" encoding="utf-8"?>
<sst xmlns="http://schemas.openxmlformats.org/spreadsheetml/2006/main" count="21" uniqueCount="16">
  <si>
    <t xml:space="preserve">Invoice Number </t>
  </si>
  <si>
    <t>Product</t>
  </si>
  <si>
    <t>Rate</t>
  </si>
  <si>
    <t>Quantity</t>
  </si>
  <si>
    <t>Amount</t>
  </si>
  <si>
    <t>GST 12%</t>
  </si>
  <si>
    <t>Total Amount</t>
  </si>
  <si>
    <t>Shirt</t>
  </si>
  <si>
    <t>Pant</t>
  </si>
  <si>
    <t>Trouser</t>
  </si>
  <si>
    <t>Jeans</t>
  </si>
  <si>
    <t>Jangiya</t>
  </si>
  <si>
    <t>T-Shirt</t>
  </si>
  <si>
    <t>BILL ENTRY</t>
  </si>
  <si>
    <t>Bashundhara city , Block-B, Road-5, House-149</t>
  </si>
  <si>
    <t>FAST-FOOD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</si>
</sst>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0"/>
      <name val="Times New Roman"/>
      <family val="1"/>
    </font>
    <font>
      <b/>
      <sz val="2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4:H14" totalsRowShown="0" headerRowDxfId="1" dataDxfId="0" headerRowBorderDxfId="10" tableBorderDxfId="11" totalsRowBorderDxfId="9">
  <autoFilter ref="B4:H14"/>
  <tableColumns count="7">
    <tableColumn id="1" name="Invoice Number " dataDxfId="8"/>
    <tableColumn id="2" name="Product" dataDxfId="7"/>
    <tableColumn id="3" name="Rate" dataDxfId="6"/>
    <tableColumn id="4" name="Quantity" dataDxfId="5"/>
    <tableColumn id="5" name="Amount" dataDxfId="4">
      <calculatedColumnFormula>D5*E5</calculatedColumnFormula>
    </tableColumn>
    <tableColumn id="6" name="GST 12%" dataDxfId="3">
      <calculatedColumnFormula>F5*12%</calculatedColumnFormula>
    </tableColumn>
    <tableColumn id="7" name="Total Amount" dataDxfId="2">
      <calculatedColumnFormula>F5+G5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5"/>
  <sheetViews>
    <sheetView tabSelected="1" workbookViewId="0">
      <selection activeCell="K11" sqref="K11"/>
    </sheetView>
  </sheetViews>
  <sheetFormatPr defaultRowHeight="14.4" x14ac:dyDescent="0.3"/>
  <cols>
    <col min="2" max="2" width="19.33203125" customWidth="1"/>
    <col min="3" max="3" width="14.88671875" customWidth="1"/>
    <col min="4" max="4" width="12.88671875" customWidth="1"/>
    <col min="5" max="5" width="13.6640625" customWidth="1"/>
    <col min="6" max="6" width="13.44140625" customWidth="1"/>
    <col min="7" max="7" width="15.44140625" customWidth="1"/>
    <col min="8" max="8" width="18.88671875" customWidth="1"/>
  </cols>
  <sheetData>
    <row r="1" spans="2:8" ht="24.6" x14ac:dyDescent="0.3">
      <c r="B1" s="1" t="s">
        <v>15</v>
      </c>
      <c r="C1" s="1"/>
      <c r="D1" s="1"/>
      <c r="E1" s="1"/>
      <c r="F1" s="1"/>
      <c r="G1" s="1"/>
      <c r="H1" s="1"/>
    </row>
    <row r="2" spans="2:8" ht="17.399999999999999" x14ac:dyDescent="0.3">
      <c r="B2" s="3" t="s">
        <v>14</v>
      </c>
      <c r="C2" s="3"/>
      <c r="D2" s="3"/>
      <c r="E2" s="3"/>
      <c r="F2" s="3"/>
      <c r="G2" s="3"/>
      <c r="H2" s="3"/>
    </row>
    <row r="3" spans="2:8" ht="22.8" x14ac:dyDescent="0.3">
      <c r="B3" s="2" t="s">
        <v>13</v>
      </c>
      <c r="C3" s="2"/>
      <c r="D3" s="2"/>
      <c r="E3" s="2"/>
      <c r="F3" s="2"/>
      <c r="G3" s="2"/>
      <c r="H3" s="2"/>
    </row>
    <row r="4" spans="2:8" x14ac:dyDescent="0.3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x14ac:dyDescent="0.3">
      <c r="B5" s="7">
        <v>1001</v>
      </c>
      <c r="C5" s="8" t="s">
        <v>7</v>
      </c>
      <c r="D5" s="8">
        <v>500</v>
      </c>
      <c r="E5" s="8">
        <v>2</v>
      </c>
      <c r="F5" s="8">
        <f>D5*E5</f>
        <v>1000</v>
      </c>
      <c r="G5" s="8">
        <f>F5*12%</f>
        <v>120</v>
      </c>
      <c r="H5" s="9">
        <f>F5+G5</f>
        <v>1120</v>
      </c>
    </row>
    <row r="6" spans="2:8" x14ac:dyDescent="0.3">
      <c r="B6" s="7">
        <v>1002</v>
      </c>
      <c r="C6" s="8" t="s">
        <v>8</v>
      </c>
      <c r="D6" s="8">
        <v>800</v>
      </c>
      <c r="E6" s="8">
        <v>3</v>
      </c>
      <c r="F6" s="8">
        <f t="shared" ref="F6:F14" si="0">D6*E6</f>
        <v>2400</v>
      </c>
      <c r="G6" s="8">
        <f t="shared" ref="G6:G14" si="1">F6*12%</f>
        <v>288</v>
      </c>
      <c r="H6" s="9">
        <f t="shared" ref="H6:H14" si="2">F6+G6</f>
        <v>2688</v>
      </c>
    </row>
    <row r="7" spans="2:8" x14ac:dyDescent="0.3">
      <c r="B7" s="7">
        <v>1003</v>
      </c>
      <c r="C7" s="8" t="s">
        <v>9</v>
      </c>
      <c r="D7" s="8">
        <v>400</v>
      </c>
      <c r="E7" s="8">
        <v>2</v>
      </c>
      <c r="F7" s="8">
        <f t="shared" si="0"/>
        <v>800</v>
      </c>
      <c r="G7" s="8">
        <f t="shared" si="1"/>
        <v>96</v>
      </c>
      <c r="H7" s="9">
        <f t="shared" si="2"/>
        <v>896</v>
      </c>
    </row>
    <row r="8" spans="2:8" x14ac:dyDescent="0.3">
      <c r="B8" s="7">
        <v>1004</v>
      </c>
      <c r="C8" s="8" t="s">
        <v>10</v>
      </c>
      <c r="D8" s="8">
        <v>900</v>
      </c>
      <c r="E8" s="8">
        <v>2</v>
      </c>
      <c r="F8" s="8">
        <f t="shared" si="0"/>
        <v>1800</v>
      </c>
      <c r="G8" s="8">
        <f t="shared" si="1"/>
        <v>216</v>
      </c>
      <c r="H8" s="9">
        <f t="shared" si="2"/>
        <v>2016</v>
      </c>
    </row>
    <row r="9" spans="2:8" x14ac:dyDescent="0.3">
      <c r="B9" s="7">
        <v>1005</v>
      </c>
      <c r="C9" s="8" t="s">
        <v>11</v>
      </c>
      <c r="D9" s="8">
        <v>300</v>
      </c>
      <c r="E9" s="8">
        <v>1</v>
      </c>
      <c r="F9" s="8">
        <f t="shared" si="0"/>
        <v>300</v>
      </c>
      <c r="G9" s="8">
        <f t="shared" si="1"/>
        <v>36</v>
      </c>
      <c r="H9" s="9">
        <f t="shared" si="2"/>
        <v>336</v>
      </c>
    </row>
    <row r="10" spans="2:8" x14ac:dyDescent="0.3">
      <c r="B10" s="7">
        <v>1006</v>
      </c>
      <c r="C10" s="8" t="s">
        <v>7</v>
      </c>
      <c r="D10" s="8">
        <v>550</v>
      </c>
      <c r="E10" s="8">
        <v>1</v>
      </c>
      <c r="F10" s="8">
        <f t="shared" si="0"/>
        <v>550</v>
      </c>
      <c r="G10" s="8">
        <f t="shared" si="1"/>
        <v>66</v>
      </c>
      <c r="H10" s="9">
        <f t="shared" si="2"/>
        <v>616</v>
      </c>
    </row>
    <row r="11" spans="2:8" x14ac:dyDescent="0.3">
      <c r="B11" s="7">
        <v>1007</v>
      </c>
      <c r="C11" s="8" t="s">
        <v>8</v>
      </c>
      <c r="D11" s="8">
        <v>850</v>
      </c>
      <c r="E11" s="8">
        <v>2</v>
      </c>
      <c r="F11" s="8">
        <f t="shared" si="0"/>
        <v>1700</v>
      </c>
      <c r="G11" s="8">
        <f t="shared" si="1"/>
        <v>204</v>
      </c>
      <c r="H11" s="9">
        <f t="shared" si="2"/>
        <v>1904</v>
      </c>
    </row>
    <row r="12" spans="2:8" x14ac:dyDescent="0.3">
      <c r="B12" s="7">
        <v>1008</v>
      </c>
      <c r="C12" s="8" t="s">
        <v>12</v>
      </c>
      <c r="D12" s="8">
        <v>450</v>
      </c>
      <c r="E12" s="8">
        <v>1</v>
      </c>
      <c r="F12" s="8">
        <f t="shared" si="0"/>
        <v>450</v>
      </c>
      <c r="G12" s="8">
        <f t="shared" si="1"/>
        <v>54</v>
      </c>
      <c r="H12" s="9">
        <f t="shared" si="2"/>
        <v>504</v>
      </c>
    </row>
    <row r="13" spans="2:8" x14ac:dyDescent="0.3">
      <c r="B13" s="7">
        <v>1009</v>
      </c>
      <c r="C13" s="8" t="s">
        <v>8</v>
      </c>
      <c r="D13" s="8">
        <v>950</v>
      </c>
      <c r="E13" s="8">
        <v>2</v>
      </c>
      <c r="F13" s="8">
        <f t="shared" si="0"/>
        <v>1900</v>
      </c>
      <c r="G13" s="8">
        <f t="shared" si="1"/>
        <v>228</v>
      </c>
      <c r="H13" s="9">
        <f t="shared" si="2"/>
        <v>2128</v>
      </c>
    </row>
    <row r="14" spans="2:8" x14ac:dyDescent="0.3">
      <c r="B14" s="10">
        <v>1010</v>
      </c>
      <c r="C14" s="11" t="s">
        <v>10</v>
      </c>
      <c r="D14" s="11">
        <v>450</v>
      </c>
      <c r="E14" s="11">
        <v>2</v>
      </c>
      <c r="F14" s="11">
        <f t="shared" si="0"/>
        <v>900</v>
      </c>
      <c r="G14" s="11">
        <f t="shared" si="1"/>
        <v>108</v>
      </c>
      <c r="H14" s="12">
        <f t="shared" si="2"/>
        <v>1008</v>
      </c>
    </row>
    <row r="15" spans="2:8" x14ac:dyDescent="0.3">
      <c r="B15" s="8"/>
      <c r="C15" s="8"/>
      <c r="D15" s="8"/>
      <c r="E15" s="13" t="s">
        <v>6</v>
      </c>
      <c r="F15" s="13"/>
      <c r="G15" s="13"/>
      <c r="H15" s="8">
        <f>SUBTOTAL(109,Table1[Total Amount])</f>
        <v>13216</v>
      </c>
    </row>
  </sheetData>
  <mergeCells count="4">
    <mergeCell ref="E15:G15"/>
    <mergeCell ref="B1:H1"/>
    <mergeCell ref="B2:H2"/>
    <mergeCell ref="B3:H3"/>
  </mergeCell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2025-11-21T10:07:19Z</dcterms:created>
  <dcterms:modified xsi:type="dcterms:W3CDTF">2025-11-21T11:07:15Z</dcterms:modified>
</cp:coreProperties>
</file>