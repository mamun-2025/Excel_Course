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" yWindow="60" windowWidth="22884" windowHeight="8688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4" i="1" l="1"/>
  <c r="F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21" i="1"/>
  <c r="F21" i="1"/>
  <c r="D16" i="1"/>
  <c r="D17" i="1"/>
  <c r="D18" i="1"/>
  <c r="D19" i="1"/>
  <c r="D20" i="1"/>
  <c r="F16" i="1"/>
  <c r="F17" i="1"/>
  <c r="F18" i="1"/>
  <c r="F19" i="1"/>
  <c r="F20" i="1"/>
  <c r="D4" i="1"/>
  <c r="D5" i="1"/>
  <c r="D6" i="1"/>
  <c r="D7" i="1"/>
  <c r="D8" i="1"/>
  <c r="D9" i="1"/>
  <c r="D10" i="1"/>
  <c r="D11" i="1"/>
  <c r="D12" i="1"/>
  <c r="D13" i="1"/>
  <c r="D14" i="1"/>
  <c r="D15" i="1"/>
  <c r="F5" i="1"/>
  <c r="F6" i="1"/>
  <c r="I6" i="1" s="1"/>
  <c r="F7" i="1"/>
  <c r="F8" i="1"/>
  <c r="F9" i="1"/>
  <c r="K7" i="1" s="1"/>
  <c r="F10" i="1"/>
  <c r="F11" i="1"/>
  <c r="F12" i="1"/>
  <c r="F13" i="1"/>
  <c r="F14" i="1"/>
  <c r="F15" i="1"/>
  <c r="J4" i="1" l="1"/>
  <c r="K5" i="1"/>
  <c r="I7" i="1"/>
  <c r="K6" i="1"/>
  <c r="I5" i="1"/>
  <c r="K4" i="1"/>
  <c r="J7" i="1"/>
  <c r="J6" i="1"/>
  <c r="J5" i="1"/>
</calcChain>
</file>

<file path=xl/sharedStrings.xml><?xml version="1.0" encoding="utf-8"?>
<sst xmlns="http://schemas.openxmlformats.org/spreadsheetml/2006/main" count="52" uniqueCount="19">
  <si>
    <t>Party Name</t>
  </si>
  <si>
    <t>Payment Mode</t>
  </si>
  <si>
    <t>Amount Tk</t>
  </si>
  <si>
    <t>Pytment Mode</t>
  </si>
  <si>
    <t>Bikash</t>
  </si>
  <si>
    <t>Nogod</t>
  </si>
  <si>
    <t>Cheque</t>
  </si>
  <si>
    <t>NEFT</t>
  </si>
  <si>
    <t>TCS</t>
  </si>
  <si>
    <t>IBM</t>
  </si>
  <si>
    <t>ZENITH</t>
  </si>
  <si>
    <t>Sumif</t>
  </si>
  <si>
    <t>sumifs</t>
  </si>
  <si>
    <t>Age</t>
  </si>
  <si>
    <t>Rate</t>
  </si>
  <si>
    <t>&gt;5</t>
  </si>
  <si>
    <t>&gt;30</t>
  </si>
  <si>
    <t>Sumifs 2</t>
  </si>
  <si>
    <t>Sumif function and sumifs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</si>
</sst>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_-[$$-409]* #,##0_ ;_-[$$-409]* \-#,##0\ ;_-[$$-409]* &quot;-&quot;??_ ;_-@_ 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i/>
      <sz val="18"/>
      <color theme="0"/>
      <name val="Times New Roman"/>
      <family val="1"/>
    </font>
    <font>
      <b/>
      <sz val="12"/>
      <color theme="1"/>
      <name val="Times New Roman"/>
      <family val="1"/>
    </font>
    <font>
      <b/>
      <sz val="2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70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70" formatCode="_-[$$-409]* #,##0_ ;_-[$$-409]* \-#,##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3:F21" totalsRowShown="0" headerRowDxfId="0" dataDxfId="9" headerRowBorderDxfId="7" tableBorderDxfId="8" totalsRowBorderDxfId="6">
  <autoFilter ref="B3:F21"/>
  <tableColumns count="5">
    <tableColumn id="1" name="Party Name" dataDxfId="5"/>
    <tableColumn id="2" name="Payment Mode" dataDxfId="4"/>
    <tableColumn id="5" name="Age" dataDxfId="3">
      <calculatedColumnFormula>RANDBETWEEN(20,50)</calculatedColumnFormula>
    </tableColumn>
    <tableColumn id="6" name="Rate" dataDxfId="2">
      <calculatedColumnFormula>RANDBETWEEN(3,10)</calculatedColumnFormula>
    </tableColumn>
    <tableColumn id="3" name="Amount Tk" dataDxfId="1">
      <calculatedColumnFormula>RANDBETWEEN(80000,200000)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tabSelected="1" zoomScale="110" zoomScaleNormal="110" workbookViewId="0">
      <selection activeCell="K4" sqref="K4"/>
    </sheetView>
  </sheetViews>
  <sheetFormatPr defaultRowHeight="14.4" x14ac:dyDescent="0.3"/>
  <cols>
    <col min="2" max="2" width="18.5546875" customWidth="1"/>
    <col min="3" max="3" width="20.109375" customWidth="1"/>
    <col min="4" max="4" width="10.88671875" customWidth="1"/>
    <col min="5" max="5" width="11.5546875" customWidth="1"/>
    <col min="6" max="6" width="17.109375" customWidth="1"/>
    <col min="8" max="8" width="13.44140625" customWidth="1"/>
    <col min="9" max="9" width="16" customWidth="1"/>
    <col min="10" max="10" width="17.88671875" customWidth="1"/>
    <col min="11" max="11" width="15.109375" customWidth="1"/>
  </cols>
  <sheetData>
    <row r="2" spans="2:11" ht="24.6" x14ac:dyDescent="0.3">
      <c r="B2" s="6" t="s">
        <v>18</v>
      </c>
      <c r="C2" s="6"/>
      <c r="D2" s="6"/>
      <c r="E2" s="6"/>
      <c r="F2" s="6"/>
      <c r="J2" t="s">
        <v>15</v>
      </c>
      <c r="K2" t="s">
        <v>16</v>
      </c>
    </row>
    <row r="3" spans="2:11" ht="22.2" x14ac:dyDescent="0.3">
      <c r="B3" s="7" t="s">
        <v>0</v>
      </c>
      <c r="C3" s="8" t="s">
        <v>1</v>
      </c>
      <c r="D3" s="8" t="s">
        <v>13</v>
      </c>
      <c r="E3" s="8" t="s">
        <v>14</v>
      </c>
      <c r="F3" s="9" t="s">
        <v>2</v>
      </c>
      <c r="H3" s="3" t="s">
        <v>3</v>
      </c>
      <c r="I3" s="4" t="s">
        <v>11</v>
      </c>
      <c r="J3" s="4" t="s">
        <v>12</v>
      </c>
      <c r="K3" s="5" t="s">
        <v>17</v>
      </c>
    </row>
    <row r="4" spans="2:11" x14ac:dyDescent="0.3">
      <c r="B4" s="10" t="s">
        <v>8</v>
      </c>
      <c r="C4" s="1" t="s">
        <v>4</v>
      </c>
      <c r="D4" s="1">
        <f t="shared" ref="D4:D15" ca="1" si="0">RANDBETWEEN(20,50)</f>
        <v>49</v>
      </c>
      <c r="E4" s="1">
        <f t="shared" ref="E4:E21" ca="1" si="1">RANDBETWEEN(3,10)</f>
        <v>6</v>
      </c>
      <c r="F4" s="11">
        <f ca="1">RANDBETWEEN(80000,200000)</f>
        <v>188245</v>
      </c>
      <c r="H4" s="2" t="s">
        <v>4</v>
      </c>
      <c r="I4" s="2">
        <f ca="1">SUMIF(Table1[[#All],[Payment Mode]],H4,Table1[[#All],[Amount Tk]])</f>
        <v>814820</v>
      </c>
      <c r="J4" s="2">
        <f ca="1">SUMIFS(Table1[[#All],[Amount Tk]],Table1[[#All],[Payment Mode]],H4,Table1[[#All],[Rate]],$J$2)</f>
        <v>641116</v>
      </c>
      <c r="K4" s="2">
        <f ca="1">SUMIFS(Table1[[#All],[Amount Tk]],Table1[[#All],[Payment Mode]],H4,Table1[[#All],[Age]],$K$2)</f>
        <v>630074</v>
      </c>
    </row>
    <row r="5" spans="2:11" x14ac:dyDescent="0.3">
      <c r="B5" s="10" t="s">
        <v>9</v>
      </c>
      <c r="C5" s="1" t="s">
        <v>5</v>
      </c>
      <c r="D5" s="1">
        <f t="shared" ca="1" si="0"/>
        <v>48</v>
      </c>
      <c r="E5" s="1">
        <f t="shared" ca="1" si="1"/>
        <v>3</v>
      </c>
      <c r="F5" s="11">
        <f t="shared" ref="F5:F15" ca="1" si="2">RANDBETWEEN(80000,200000)</f>
        <v>125674</v>
      </c>
      <c r="H5" s="2" t="s">
        <v>5</v>
      </c>
      <c r="I5" s="2">
        <f ca="1">SUMIF(Table1[[#All],[Payment Mode]],H5,Table1[[#All],[Amount Tk]])</f>
        <v>475793</v>
      </c>
      <c r="J5" s="2">
        <f ca="1">SUMIFS(Table1[[#All],[Amount Tk]],Table1[[#All],[Payment Mode]],H5,Table1[[#All],[Rate]],$J$2)</f>
        <v>350119</v>
      </c>
      <c r="K5" s="2">
        <f ca="1">SUMIFS(Table1[[#All],[Amount Tk]],Table1[[#All],[Payment Mode]],H5,Table1[[#All],[Age]],$K$2)</f>
        <v>475793</v>
      </c>
    </row>
    <row r="6" spans="2:11" x14ac:dyDescent="0.3">
      <c r="B6" s="10" t="s">
        <v>8</v>
      </c>
      <c r="C6" s="1" t="s">
        <v>6</v>
      </c>
      <c r="D6" s="1">
        <f t="shared" ca="1" si="0"/>
        <v>43</v>
      </c>
      <c r="E6" s="1">
        <f t="shared" ca="1" si="1"/>
        <v>6</v>
      </c>
      <c r="F6" s="11">
        <f t="shared" ca="1" si="2"/>
        <v>98615</v>
      </c>
      <c r="H6" s="2" t="s">
        <v>6</v>
      </c>
      <c r="I6" s="2">
        <f ca="1">SUMIF(Table1[[#All],[Payment Mode]],H6,Table1[[#All],[Amount Tk]])</f>
        <v>661625</v>
      </c>
      <c r="J6" s="2">
        <f ca="1">SUMIFS(Table1[[#All],[Amount Tk]],Table1[[#All],[Payment Mode]],H6,Table1[[#All],[Rate]],$J$2)</f>
        <v>576340</v>
      </c>
      <c r="K6" s="2">
        <f ca="1">SUMIFS(Table1[[#All],[Amount Tk]],Table1[[#All],[Payment Mode]],H6,Table1[[#All],[Age]],$K$2)</f>
        <v>536661</v>
      </c>
    </row>
    <row r="7" spans="2:11" x14ac:dyDescent="0.3">
      <c r="B7" s="10" t="s">
        <v>9</v>
      </c>
      <c r="C7" s="1" t="s">
        <v>4</v>
      </c>
      <c r="D7" s="1">
        <f t="shared" ca="1" si="0"/>
        <v>38</v>
      </c>
      <c r="E7" s="1">
        <f t="shared" ca="1" si="1"/>
        <v>7</v>
      </c>
      <c r="F7" s="11">
        <f t="shared" ca="1" si="2"/>
        <v>173889</v>
      </c>
      <c r="H7" s="2" t="s">
        <v>7</v>
      </c>
      <c r="I7" s="2">
        <f ca="1">SUMIF(Table1[[#All],[Payment Mode]],H7,Table1[[#All],[Amount Tk]])</f>
        <v>485452</v>
      </c>
      <c r="J7" s="2">
        <f ca="1">SUMIFS(Table1[[#All],[Amount Tk]],Table1[[#All],[Payment Mode]],H7,Table1[[#All],[Rate]],$J$2)</f>
        <v>147441</v>
      </c>
      <c r="K7" s="2">
        <f ca="1">SUMIFS(Table1[[#All],[Amount Tk]],Table1[[#All],[Payment Mode]],H7,Table1[[#All],[Age]],$K$2)</f>
        <v>338011</v>
      </c>
    </row>
    <row r="8" spans="2:11" x14ac:dyDescent="0.3">
      <c r="B8" s="10" t="s">
        <v>10</v>
      </c>
      <c r="C8" s="1" t="s">
        <v>5</v>
      </c>
      <c r="D8" s="1">
        <f t="shared" ca="1" si="0"/>
        <v>50</v>
      </c>
      <c r="E8" s="1">
        <f t="shared" ca="1" si="1"/>
        <v>9</v>
      </c>
      <c r="F8" s="11">
        <f t="shared" ca="1" si="2"/>
        <v>143351</v>
      </c>
    </row>
    <row r="9" spans="2:11" x14ac:dyDescent="0.3">
      <c r="B9" s="10" t="s">
        <v>9</v>
      </c>
      <c r="C9" s="1" t="s">
        <v>7</v>
      </c>
      <c r="D9" s="1">
        <f t="shared" ca="1" si="0"/>
        <v>25</v>
      </c>
      <c r="E9" s="1">
        <f t="shared" ca="1" si="1"/>
        <v>6</v>
      </c>
      <c r="F9" s="11">
        <f t="shared" ca="1" si="2"/>
        <v>147441</v>
      </c>
    </row>
    <row r="10" spans="2:11" x14ac:dyDescent="0.3">
      <c r="B10" s="10" t="s">
        <v>9</v>
      </c>
      <c r="C10" s="1" t="s">
        <v>7</v>
      </c>
      <c r="D10" s="1">
        <f t="shared" ca="1" si="0"/>
        <v>36</v>
      </c>
      <c r="E10" s="1">
        <f t="shared" ca="1" si="1"/>
        <v>3</v>
      </c>
      <c r="F10" s="11">
        <f t="shared" ca="1" si="2"/>
        <v>140780</v>
      </c>
    </row>
    <row r="11" spans="2:11" x14ac:dyDescent="0.3">
      <c r="B11" s="10" t="s">
        <v>10</v>
      </c>
      <c r="C11" s="1" t="s">
        <v>6</v>
      </c>
      <c r="D11" s="1">
        <f t="shared" ca="1" si="0"/>
        <v>43</v>
      </c>
      <c r="E11" s="1">
        <f t="shared" ca="1" si="1"/>
        <v>10</v>
      </c>
      <c r="F11" s="11">
        <f t="shared" ca="1" si="2"/>
        <v>199011</v>
      </c>
    </row>
    <row r="12" spans="2:11" x14ac:dyDescent="0.3">
      <c r="B12" s="10" t="s">
        <v>8</v>
      </c>
      <c r="C12" s="1" t="s">
        <v>4</v>
      </c>
      <c r="D12" s="1">
        <f t="shared" ca="1" si="0"/>
        <v>41</v>
      </c>
      <c r="E12" s="1">
        <f t="shared" ca="1" si="1"/>
        <v>6</v>
      </c>
      <c r="F12" s="11">
        <f t="shared" ca="1" si="2"/>
        <v>94236</v>
      </c>
    </row>
    <row r="13" spans="2:11" x14ac:dyDescent="0.3">
      <c r="B13" s="10" t="s">
        <v>8</v>
      </c>
      <c r="C13" s="1" t="s">
        <v>4</v>
      </c>
      <c r="D13" s="1">
        <f t="shared" ca="1" si="0"/>
        <v>25</v>
      </c>
      <c r="E13" s="1">
        <f t="shared" ca="1" si="1"/>
        <v>9</v>
      </c>
      <c r="F13" s="11">
        <f t="shared" ca="1" si="2"/>
        <v>184746</v>
      </c>
    </row>
    <row r="14" spans="2:11" x14ac:dyDescent="0.3">
      <c r="B14" s="10" t="s">
        <v>9</v>
      </c>
      <c r="C14" s="1" t="s">
        <v>5</v>
      </c>
      <c r="D14" s="1">
        <f t="shared" ca="1" si="0"/>
        <v>31</v>
      </c>
      <c r="E14" s="1">
        <f t="shared" ca="1" si="1"/>
        <v>6</v>
      </c>
      <c r="F14" s="11">
        <f t="shared" ca="1" si="2"/>
        <v>109786</v>
      </c>
    </row>
    <row r="15" spans="2:11" x14ac:dyDescent="0.3">
      <c r="B15" s="10" t="s">
        <v>10</v>
      </c>
      <c r="C15" s="1" t="s">
        <v>6</v>
      </c>
      <c r="D15" s="1">
        <f t="shared" ca="1" si="0"/>
        <v>31</v>
      </c>
      <c r="E15" s="1">
        <f t="shared" ca="1" si="1"/>
        <v>5</v>
      </c>
      <c r="F15" s="11">
        <f t="shared" ca="1" si="2"/>
        <v>85285</v>
      </c>
    </row>
    <row r="16" spans="2:11" x14ac:dyDescent="0.3">
      <c r="B16" s="10" t="s">
        <v>9</v>
      </c>
      <c r="C16" s="1" t="s">
        <v>7</v>
      </c>
      <c r="D16" s="12">
        <f t="shared" ref="D16:D20" ca="1" si="3">RANDBETWEEN(20,50)</f>
        <v>44</v>
      </c>
      <c r="E16" s="12">
        <f t="shared" ca="1" si="1"/>
        <v>3</v>
      </c>
      <c r="F16" s="11">
        <f t="shared" ref="F16:F20" ca="1" si="4">RANDBETWEEN(80000,200000)</f>
        <v>197231</v>
      </c>
    </row>
    <row r="17" spans="2:6" x14ac:dyDescent="0.3">
      <c r="B17" s="10" t="s">
        <v>10</v>
      </c>
      <c r="C17" s="1" t="s">
        <v>6</v>
      </c>
      <c r="D17" s="12">
        <f t="shared" ca="1" si="3"/>
        <v>47</v>
      </c>
      <c r="E17" s="12">
        <f t="shared" ca="1" si="1"/>
        <v>6</v>
      </c>
      <c r="F17" s="11">
        <f t="shared" ca="1" si="4"/>
        <v>153750</v>
      </c>
    </row>
    <row r="18" spans="2:6" x14ac:dyDescent="0.3">
      <c r="B18" s="10" t="s">
        <v>8</v>
      </c>
      <c r="C18" s="1" t="s">
        <v>4</v>
      </c>
      <c r="D18" s="12">
        <f t="shared" ca="1" si="3"/>
        <v>40</v>
      </c>
      <c r="E18" s="12">
        <f t="shared" ca="1" si="1"/>
        <v>3</v>
      </c>
      <c r="F18" s="11">
        <f t="shared" ca="1" si="4"/>
        <v>88197</v>
      </c>
    </row>
    <row r="19" spans="2:6" x14ac:dyDescent="0.3">
      <c r="B19" s="10" t="s">
        <v>8</v>
      </c>
      <c r="C19" s="1" t="s">
        <v>4</v>
      </c>
      <c r="D19" s="12">
        <f t="shared" ca="1" si="3"/>
        <v>46</v>
      </c>
      <c r="E19" s="12">
        <f t="shared" ca="1" si="1"/>
        <v>3</v>
      </c>
      <c r="F19" s="11">
        <f t="shared" ca="1" si="4"/>
        <v>85507</v>
      </c>
    </row>
    <row r="20" spans="2:6" x14ac:dyDescent="0.3">
      <c r="B20" s="10" t="s">
        <v>9</v>
      </c>
      <c r="C20" s="1" t="s">
        <v>5</v>
      </c>
      <c r="D20" s="12">
        <f t="shared" ca="1" si="3"/>
        <v>40</v>
      </c>
      <c r="E20" s="12">
        <f t="shared" ca="1" si="1"/>
        <v>9</v>
      </c>
      <c r="F20" s="11">
        <f t="shared" ca="1" si="4"/>
        <v>96982</v>
      </c>
    </row>
    <row r="21" spans="2:6" x14ac:dyDescent="0.3">
      <c r="B21" s="13" t="s">
        <v>10</v>
      </c>
      <c r="C21" s="14" t="s">
        <v>6</v>
      </c>
      <c r="D21" s="15">
        <f ca="1">RANDBETWEEN(20,50)</f>
        <v>20</v>
      </c>
      <c r="E21" s="15">
        <f t="shared" ca="1" si="1"/>
        <v>7</v>
      </c>
      <c r="F21" s="16">
        <f ca="1">RANDBETWEEN(80000,200000)</f>
        <v>124964</v>
      </c>
    </row>
  </sheetData>
  <mergeCells count="1">
    <mergeCell ref="B2:F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2025-11-01T07:36:30Z</dcterms:created>
  <dcterms:modified xsi:type="dcterms:W3CDTF">2025-11-01T09:04:34Z</dcterms:modified>
</cp:coreProperties>
</file>