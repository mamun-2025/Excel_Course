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87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O4" i="2"/>
  <c r="O5" i="2"/>
  <c r="O6" i="2"/>
  <c r="O7" i="2"/>
  <c r="O8" i="2"/>
  <c r="O9" i="2"/>
  <c r="O10" i="2"/>
  <c r="O11" i="2"/>
  <c r="O12" i="2"/>
  <c r="O13" i="2"/>
  <c r="O14" i="2"/>
  <c r="O15" i="2"/>
  <c r="N4" i="2"/>
  <c r="N5" i="2"/>
  <c r="N6" i="2"/>
  <c r="N7" i="2"/>
  <c r="N8" i="2"/>
  <c r="N9" i="2"/>
  <c r="N10" i="2"/>
  <c r="N11" i="2"/>
  <c r="N12" i="2"/>
  <c r="N13" i="2"/>
  <c r="N14" i="2"/>
  <c r="N15" i="2"/>
  <c r="M4" i="2"/>
  <c r="M5" i="2"/>
  <c r="M6" i="2"/>
  <c r="M7" i="2"/>
  <c r="M8" i="2"/>
  <c r="M9" i="2"/>
  <c r="M10" i="2"/>
  <c r="M11" i="2"/>
  <c r="M12" i="2"/>
  <c r="M13" i="2"/>
  <c r="M14" i="2"/>
  <c r="M15" i="2"/>
  <c r="L4" i="2"/>
  <c r="L5" i="2"/>
  <c r="L6" i="2"/>
  <c r="L7" i="2"/>
  <c r="L8" i="2"/>
  <c r="L9" i="2"/>
  <c r="L10" i="2"/>
  <c r="L11" i="2"/>
  <c r="L12" i="2"/>
  <c r="L13" i="2"/>
  <c r="L14" i="2"/>
  <c r="L15" i="2"/>
  <c r="H4" i="2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I11" i="2" s="1"/>
  <c r="H12" i="2"/>
  <c r="K12" i="2" s="1"/>
  <c r="H13" i="2"/>
  <c r="I13" i="2" s="1"/>
  <c r="H14" i="2"/>
  <c r="I14" i="2" s="1"/>
  <c r="H15" i="2"/>
  <c r="I15" i="2" s="1"/>
  <c r="I12" i="2" l="1"/>
  <c r="I7" i="2"/>
  <c r="J15" i="2"/>
  <c r="J11" i="2"/>
  <c r="J7" i="2"/>
  <c r="K15" i="2"/>
  <c r="K11" i="2"/>
  <c r="I10" i="2"/>
  <c r="I6" i="2"/>
  <c r="J14" i="2"/>
  <c r="J10" i="2"/>
  <c r="J6" i="2"/>
  <c r="K14" i="2"/>
  <c r="I9" i="2"/>
  <c r="I5" i="2"/>
  <c r="J13" i="2"/>
  <c r="J9" i="2"/>
  <c r="J5" i="2"/>
  <c r="K13" i="2"/>
  <c r="I8" i="2"/>
  <c r="I4" i="2"/>
  <c r="J12" i="2"/>
  <c r="J8" i="2"/>
  <c r="J4" i="2"/>
  <c r="K4" i="2"/>
  <c r="G5" i="1"/>
  <c r="H5" i="1" s="1"/>
  <c r="G6" i="1"/>
  <c r="J6" i="1" s="1"/>
  <c r="G7" i="1"/>
  <c r="H7" i="1" s="1"/>
  <c r="G8" i="1"/>
  <c r="H8" i="1" s="1"/>
  <c r="G9" i="1"/>
  <c r="H9" i="1" s="1"/>
  <c r="G10" i="1"/>
  <c r="J10" i="1" s="1"/>
  <c r="G11" i="1"/>
  <c r="H11" i="1" s="1"/>
  <c r="G12" i="1"/>
  <c r="H12" i="1" s="1"/>
  <c r="G13" i="1"/>
  <c r="J13" i="1" s="1"/>
  <c r="G14" i="1"/>
  <c r="J14" i="1" s="1"/>
  <c r="G15" i="1"/>
  <c r="H15" i="1" s="1"/>
  <c r="G16" i="1"/>
  <c r="H16" i="1" s="1"/>
  <c r="L16" i="1" l="1"/>
  <c r="L12" i="1"/>
  <c r="L8" i="1"/>
  <c r="M16" i="1"/>
  <c r="M12" i="1"/>
  <c r="M8" i="1"/>
  <c r="L15" i="1"/>
  <c r="L11" i="1"/>
  <c r="L7" i="1"/>
  <c r="M15" i="1"/>
  <c r="M11" i="1"/>
  <c r="M7" i="1"/>
  <c r="L14" i="1"/>
  <c r="L10" i="1"/>
  <c r="L6" i="1"/>
  <c r="M14" i="1"/>
  <c r="M10" i="1"/>
  <c r="M6" i="1"/>
  <c r="L13" i="1"/>
  <c r="L9" i="1"/>
  <c r="L5" i="1"/>
  <c r="M13" i="1"/>
  <c r="M9" i="1"/>
  <c r="M5" i="1"/>
  <c r="I16" i="1"/>
  <c r="K16" i="1" s="1"/>
  <c r="I8" i="1"/>
  <c r="J12" i="1"/>
  <c r="I15" i="1"/>
  <c r="I7" i="1"/>
  <c r="K7" i="1" s="1"/>
  <c r="J11" i="1"/>
  <c r="I12" i="1"/>
  <c r="K12" i="1" s="1"/>
  <c r="J16" i="1"/>
  <c r="J8" i="1"/>
  <c r="I11" i="1"/>
  <c r="K11" i="1" s="1"/>
  <c r="J15" i="1"/>
  <c r="J7" i="1"/>
  <c r="H13" i="1"/>
  <c r="H14" i="1"/>
  <c r="H10" i="1"/>
  <c r="H6" i="1"/>
  <c r="I13" i="1"/>
  <c r="I9" i="1"/>
  <c r="K9" i="1" s="1"/>
  <c r="I5" i="1"/>
  <c r="K5" i="1" s="1"/>
  <c r="J9" i="1"/>
  <c r="J5" i="1"/>
  <c r="I14" i="1"/>
  <c r="I10" i="1"/>
  <c r="I6" i="1"/>
  <c r="K10" i="1" l="1"/>
  <c r="K8" i="1"/>
  <c r="K13" i="1"/>
  <c r="O13" i="1" s="1"/>
  <c r="K6" i="1"/>
  <c r="K15" i="1"/>
  <c r="N9" i="1"/>
  <c r="O9" i="1" s="1"/>
  <c r="N11" i="1"/>
  <c r="O11" i="1" s="1"/>
  <c r="K14" i="1"/>
  <c r="N5" i="1"/>
  <c r="O5" i="1" s="1"/>
  <c r="N14" i="1"/>
  <c r="O14" i="1" s="1"/>
  <c r="N7" i="1"/>
  <c r="O7" i="1" s="1"/>
  <c r="N16" i="1"/>
  <c r="O16" i="1" s="1"/>
  <c r="N13" i="1"/>
  <c r="N6" i="1"/>
  <c r="O6" i="1" s="1"/>
  <c r="N15" i="1"/>
  <c r="N8" i="1"/>
  <c r="O8" i="1" s="1"/>
  <c r="N10" i="1"/>
  <c r="O10" i="1" s="1"/>
  <c r="N12" i="1"/>
  <c r="O12" i="1" s="1"/>
  <c r="O15" i="1" l="1"/>
</calcChain>
</file>

<file path=xl/sharedStrings.xml><?xml version="1.0" encoding="utf-8"?>
<sst xmlns="http://schemas.openxmlformats.org/spreadsheetml/2006/main" count="94" uniqueCount="57">
  <si>
    <t>Name</t>
  </si>
  <si>
    <t>Position</t>
  </si>
  <si>
    <t>Fixed Basic</t>
  </si>
  <si>
    <t>Working Day</t>
  </si>
  <si>
    <t>Absent</t>
  </si>
  <si>
    <t>Present</t>
  </si>
  <si>
    <t>Basic</t>
  </si>
  <si>
    <t>H-R</t>
  </si>
  <si>
    <t>M-A</t>
  </si>
  <si>
    <t>C-A</t>
  </si>
  <si>
    <t>Gross Salary</t>
  </si>
  <si>
    <t>PF</t>
  </si>
  <si>
    <t>Tax</t>
  </si>
  <si>
    <t>Total Deduction</t>
  </si>
  <si>
    <t>Pay Salary</t>
  </si>
  <si>
    <t>Taken</t>
  </si>
  <si>
    <t>Deduction</t>
  </si>
  <si>
    <t>Tanvir Ahamed</t>
  </si>
  <si>
    <t>Mamun Bepari</t>
  </si>
  <si>
    <t>Habib Mamun</t>
  </si>
  <si>
    <t>Nurul Islam</t>
  </si>
  <si>
    <t>Ridoy Howlader</t>
  </si>
  <si>
    <t>Mizanur Rahman</t>
  </si>
  <si>
    <t>Sakib Khan</t>
  </si>
  <si>
    <t>Asad Hossain</t>
  </si>
  <si>
    <t>Anwar Khan</t>
  </si>
  <si>
    <t>Niloy Mridha</t>
  </si>
  <si>
    <t>Utsho Howlader</t>
  </si>
  <si>
    <t>Rajib Howlader</t>
  </si>
  <si>
    <t>Teacher</t>
  </si>
  <si>
    <t>Manager</t>
  </si>
  <si>
    <t>Content Creater</t>
  </si>
  <si>
    <t>Ast. Manager</t>
  </si>
  <si>
    <t>Officer</t>
  </si>
  <si>
    <t>Sr. Manager</t>
  </si>
  <si>
    <t>Md</t>
  </si>
  <si>
    <t>Securiy</t>
  </si>
  <si>
    <t>Assitant</t>
  </si>
  <si>
    <t>Doctor</t>
  </si>
  <si>
    <t>Pailot</t>
  </si>
  <si>
    <t>Youtuber</t>
  </si>
  <si>
    <t>CA = Conveyance  Allowance</t>
  </si>
  <si>
    <t>MA = Medical Allowance</t>
  </si>
  <si>
    <t>HR = House Rent</t>
  </si>
  <si>
    <t>BASIC SALARY SHEET</t>
  </si>
  <si>
    <t>Day</t>
  </si>
  <si>
    <t>HR</t>
  </si>
  <si>
    <t>MA</t>
  </si>
  <si>
    <t>Total Deductidon</t>
  </si>
  <si>
    <t xml:space="preserve">Absent </t>
  </si>
  <si>
    <t>CA</t>
  </si>
  <si>
    <t>Net/Pay Salary</t>
  </si>
  <si>
    <t>TAX</t>
  </si>
  <si>
    <t>20000-30000</t>
  </si>
  <si>
    <t>30001-40000</t>
  </si>
  <si>
    <t>40001-60000</t>
  </si>
  <si>
    <t>60000&gt;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</si>
</sst>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6"/>
      <color theme="0"/>
      <name val="Times New Roman"/>
      <family val="1"/>
    </font>
    <font>
      <sz val="14"/>
      <color theme="1"/>
      <name val="Calibri"/>
      <family val="2"/>
      <charset val="1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9" fontId="6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" fontId="1" fillId="9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" fontId="1" fillId="8" borderId="3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" fontId="1" fillId="8" borderId="4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" formatCode="0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numFmt numFmtId="1" formatCode="0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numFmt numFmtId="1" formatCode="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4:O16" totalsRowShown="0" headerRowDxfId="34" dataDxfId="33">
  <autoFilter ref="A4:O16"/>
  <tableColumns count="15">
    <tableColumn id="1" name="Name" dataDxfId="32"/>
    <tableColumn id="2" name="Position" dataDxfId="31"/>
    <tableColumn id="3" name="Fixed Basic" dataDxfId="30"/>
    <tableColumn id="4" name="Working Day" dataDxfId="29"/>
    <tableColumn id="5" name="Absent" dataDxfId="28"/>
    <tableColumn id="6" name="Present" dataDxfId="27"/>
    <tableColumn id="7" name="Basic" dataDxfId="26">
      <calculatedColumnFormula>Table3[[#This Row],[Fixed Basic]]/Table3[[#This Row],[Working Day]]*Table3[[#This Row],[Present]]</calculatedColumnFormula>
    </tableColumn>
    <tableColumn id="8" name="H-R" dataDxfId="25">
      <calculatedColumnFormula>Table3[[#This Row],[Basic]]*$H$2</calculatedColumnFormula>
    </tableColumn>
    <tableColumn id="9" name="M-A" dataDxfId="24">
      <calculatedColumnFormula>Table3[[#This Row],[Basic]]*$I$2</calculatedColumnFormula>
    </tableColumn>
    <tableColumn id="10" name="C-A" dataDxfId="23">
      <calculatedColumnFormula>Table3[[#This Row],[Basic]]*$J$2</calculatedColumnFormula>
    </tableColumn>
    <tableColumn id="11" name="Gross Salary" dataDxfId="22">
      <calculatedColumnFormula>SUM(G5:J5)</calculatedColumnFormula>
    </tableColumn>
    <tableColumn id="12" name="PF" dataDxfId="21">
      <calculatedColumnFormula>Table3[[#This Row],[Basic]]*$L$2</calculatedColumnFormula>
    </tableColumn>
    <tableColumn id="13" name="Tax" dataDxfId="20">
      <calculatedColumnFormula>Table3[[#This Row],[Basic]]*$M$2</calculatedColumnFormula>
    </tableColumn>
    <tableColumn id="14" name="Total Deduction" dataDxfId="19">
      <calculatedColumnFormula>SUM(L5:M5)</calculatedColumnFormula>
    </tableColumn>
    <tableColumn id="15" name="Pay Salary" dataDxfId="18">
      <calculatedColumnFormula>Table3[[#This Row],[Gross Salary]]-Table3[[#This Row],[Total Deduction]]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3:P15" totalsRowShown="0" headerRowDxfId="17" dataDxfId="16" tableBorderDxfId="15">
  <autoFilter ref="B3:P15"/>
  <tableColumns count="15">
    <tableColumn id="1" name="Name" dataDxfId="14"/>
    <tableColumn id="2" name="Position" dataDxfId="13"/>
    <tableColumn id="3" name="Fixed Basic" dataDxfId="12"/>
    <tableColumn id="4" name="Day" dataDxfId="11"/>
    <tableColumn id="5" name="Absent " dataDxfId="10"/>
    <tableColumn id="6" name="Present" dataDxfId="9"/>
    <tableColumn id="7" name="Basic" dataDxfId="8">
      <calculatedColumnFormula>Table1[[#This Row],[Fixed Basic]]/30*Table1[[#This Row],[Present]]</calculatedColumnFormula>
    </tableColumn>
    <tableColumn id="8" name="HR" dataDxfId="7">
      <calculatedColumnFormula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calculatedColumnFormula>
    </tableColumn>
    <tableColumn id="9" name="MA" dataDxfId="6">
      <calculatedColumnFormula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calculatedColumnFormula>
    </tableColumn>
    <tableColumn id="10" name="CA" dataDxfId="5">
      <calculatedColumnFormula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calculatedColumnFormula>
    </tableColumn>
    <tableColumn id="11" name="Gross Salary" dataDxfId="4">
      <calculatedColumnFormula>SUM(H4:K4)</calculatedColumnFormula>
    </tableColumn>
    <tableColumn id="12" name="PF" dataDxfId="3">
      <calculatedColumnFormula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calculatedColumnFormula>
    </tableColumn>
    <tableColumn id="13" name="Tax" dataDxfId="2">
      <calculatedColumnFormula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calculatedColumnFormula>
    </tableColumn>
    <tableColumn id="14" name="Total Deductidon" dataDxfId="1">
      <calculatedColumnFormula>SUM(M4:N4)</calculatedColumnFormula>
    </tableColumn>
    <tableColumn id="15" name="Net/Pay Salary" dataDxfId="0">
      <calculatedColumnFormula>Table1[[#This Row],[Gross Salary]]-Table1[[#This Row],[Total Deductidon]]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C1" workbookViewId="0">
      <selection activeCell="B23" sqref="B23"/>
    </sheetView>
  </sheetViews>
  <sheetFormatPr defaultRowHeight="14.4" x14ac:dyDescent="0.3"/>
  <cols>
    <col min="1" max="1" width="18.5546875" customWidth="1"/>
    <col min="2" max="2" width="17" customWidth="1"/>
    <col min="3" max="3" width="17.88671875" customWidth="1"/>
    <col min="4" max="4" width="19.21875" customWidth="1"/>
    <col min="5" max="5" width="13.88671875" customWidth="1"/>
    <col min="6" max="6" width="14.5546875" customWidth="1"/>
    <col min="7" max="7" width="11.77734375" customWidth="1"/>
    <col min="8" max="8" width="11.88671875" customWidth="1"/>
    <col min="9" max="9" width="10.44140625" customWidth="1"/>
    <col min="10" max="10" width="10.21875" customWidth="1"/>
    <col min="11" max="11" width="20.6640625" customWidth="1"/>
    <col min="12" max="12" width="10.44140625" customWidth="1"/>
    <col min="13" max="13" width="10.88671875" customWidth="1"/>
    <col min="14" max="14" width="27.6640625" customWidth="1"/>
    <col min="15" max="15" width="18.33203125" customWidth="1"/>
  </cols>
  <sheetData>
    <row r="1" spans="1:15" ht="39.6" customHeight="1" x14ac:dyDescent="0.3">
      <c r="A1" s="15" t="s">
        <v>44</v>
      </c>
      <c r="B1" s="16"/>
      <c r="C1" s="14" t="s">
        <v>41</v>
      </c>
      <c r="D1" s="14"/>
    </row>
    <row r="2" spans="1:15" ht="25.8" customHeight="1" x14ac:dyDescent="0.3">
      <c r="C2" s="14" t="s">
        <v>42</v>
      </c>
      <c r="D2" s="14"/>
      <c r="H2" s="5">
        <v>0.2</v>
      </c>
      <c r="I2" s="5">
        <v>0.15</v>
      </c>
      <c r="J2" s="5">
        <v>0.02</v>
      </c>
      <c r="L2" s="7">
        <v>0.05</v>
      </c>
      <c r="M2" s="7">
        <v>0.01</v>
      </c>
    </row>
    <row r="3" spans="1:15" ht="32.4" customHeight="1" x14ac:dyDescent="0.3">
      <c r="C3" s="14" t="s">
        <v>43</v>
      </c>
      <c r="D3" s="14"/>
      <c r="H3" s="12" t="s">
        <v>15</v>
      </c>
      <c r="I3" s="12"/>
      <c r="J3" s="12"/>
      <c r="K3" s="12"/>
      <c r="L3" s="13" t="s">
        <v>16</v>
      </c>
      <c r="M3" s="13"/>
      <c r="N3" s="13"/>
    </row>
    <row r="4" spans="1:15" s="3" customFormat="1" ht="20.399999999999999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6" t="s">
        <v>11</v>
      </c>
      <c r="M4" s="6" t="s">
        <v>12</v>
      </c>
      <c r="N4" s="6" t="s">
        <v>13</v>
      </c>
      <c r="O4" s="8" t="s">
        <v>14</v>
      </c>
    </row>
    <row r="5" spans="1:15" ht="18" x14ac:dyDescent="0.3">
      <c r="A5" s="1" t="s">
        <v>17</v>
      </c>
      <c r="B5" s="1" t="s">
        <v>29</v>
      </c>
      <c r="C5" s="1">
        <v>26457</v>
      </c>
      <c r="D5" s="1">
        <v>30</v>
      </c>
      <c r="E5" s="1">
        <v>2</v>
      </c>
      <c r="F5" s="1">
        <v>28</v>
      </c>
      <c r="G5" s="9">
        <f>Table3[[#This Row],[Fixed Basic]]/Table3[[#This Row],[Working Day]]*Table3[[#This Row],[Present]]</f>
        <v>24693.200000000001</v>
      </c>
      <c r="H5" s="9">
        <f>Table3[[#This Row],[Basic]]*$H$2</f>
        <v>4938.6400000000003</v>
      </c>
      <c r="I5" s="9">
        <f>Table3[[#This Row],[Basic]]*$I$2</f>
        <v>3703.98</v>
      </c>
      <c r="J5" s="9">
        <f>Table3[[#This Row],[Basic]]*$J$2</f>
        <v>493.86400000000003</v>
      </c>
      <c r="K5" s="10">
        <f>SUM(G5:J5)</f>
        <v>33829.684000000001</v>
      </c>
      <c r="L5" s="9">
        <f>Table3[[#This Row],[Basic]]*$L$2</f>
        <v>1234.6600000000001</v>
      </c>
      <c r="M5" s="9">
        <f>Table3[[#This Row],[Basic]]*$M$2</f>
        <v>246.93200000000002</v>
      </c>
      <c r="N5" s="11">
        <f>SUM(L5:M5)</f>
        <v>1481.5920000000001</v>
      </c>
      <c r="O5" s="9">
        <f>Table3[[#This Row],[Gross Salary]]-Table3[[#This Row],[Total Deduction]]</f>
        <v>32348.092000000001</v>
      </c>
    </row>
    <row r="6" spans="1:15" ht="18" x14ac:dyDescent="0.3">
      <c r="A6" s="1" t="s">
        <v>18</v>
      </c>
      <c r="B6" s="1" t="s">
        <v>30</v>
      </c>
      <c r="C6" s="1">
        <v>55400</v>
      </c>
      <c r="D6" s="1">
        <v>30</v>
      </c>
      <c r="E6" s="1"/>
      <c r="F6" s="1">
        <v>30</v>
      </c>
      <c r="G6" s="9">
        <f>Table3[[#This Row],[Fixed Basic]]/Table3[[#This Row],[Working Day]]*Table3[[#This Row],[Present]]</f>
        <v>55400</v>
      </c>
      <c r="H6" s="9">
        <f>Table3[[#This Row],[Basic]]*$H$2</f>
        <v>11080</v>
      </c>
      <c r="I6" s="9">
        <f>Table3[[#This Row],[Basic]]*$I$2</f>
        <v>8310</v>
      </c>
      <c r="J6" s="9">
        <f>Table3[[#This Row],[Basic]]*$J$2</f>
        <v>1108</v>
      </c>
      <c r="K6" s="10">
        <f>SUM(G6:J6)</f>
        <v>75898</v>
      </c>
      <c r="L6" s="9">
        <f>Table3[[#This Row],[Basic]]*$L$2</f>
        <v>2770</v>
      </c>
      <c r="M6" s="9">
        <f>Table3[[#This Row],[Basic]]*$M$2</f>
        <v>554</v>
      </c>
      <c r="N6" s="11">
        <f>SUM(L6:M6)</f>
        <v>3324</v>
      </c>
      <c r="O6" s="9">
        <f>Table3[[#This Row],[Gross Salary]]-Table3[[#This Row],[Total Deduction]]</f>
        <v>72574</v>
      </c>
    </row>
    <row r="7" spans="1:15" ht="18" x14ac:dyDescent="0.3">
      <c r="A7" s="1" t="s">
        <v>19</v>
      </c>
      <c r="B7" s="1" t="s">
        <v>31</v>
      </c>
      <c r="C7" s="1">
        <v>35500</v>
      </c>
      <c r="D7" s="1">
        <v>30</v>
      </c>
      <c r="E7" s="1">
        <v>1</v>
      </c>
      <c r="F7" s="1">
        <v>29</v>
      </c>
      <c r="G7" s="9">
        <f>Table3[[#This Row],[Fixed Basic]]/Table3[[#This Row],[Working Day]]*Table3[[#This Row],[Present]]</f>
        <v>34316.666666666664</v>
      </c>
      <c r="H7" s="9">
        <f>Table3[[#This Row],[Basic]]*$H$2</f>
        <v>6863.333333333333</v>
      </c>
      <c r="I7" s="9">
        <f>Table3[[#This Row],[Basic]]*$I$2</f>
        <v>5147.4999999999991</v>
      </c>
      <c r="J7" s="9">
        <f>Table3[[#This Row],[Basic]]*$J$2</f>
        <v>686.33333333333326</v>
      </c>
      <c r="K7" s="10">
        <f>SUM(G7:J7)</f>
        <v>47013.833333333336</v>
      </c>
      <c r="L7" s="9">
        <f>Table3[[#This Row],[Basic]]*$L$2</f>
        <v>1715.8333333333333</v>
      </c>
      <c r="M7" s="9">
        <f>Table3[[#This Row],[Basic]]*$M$2</f>
        <v>343.16666666666663</v>
      </c>
      <c r="N7" s="11">
        <f>SUM(L7:M7)</f>
        <v>2059</v>
      </c>
      <c r="O7" s="9">
        <f>Table3[[#This Row],[Gross Salary]]-Table3[[#This Row],[Total Deduction]]</f>
        <v>44954.833333333336</v>
      </c>
    </row>
    <row r="8" spans="1:15" ht="18" x14ac:dyDescent="0.3">
      <c r="A8" s="1" t="s">
        <v>20</v>
      </c>
      <c r="B8" s="1" t="s">
        <v>32</v>
      </c>
      <c r="C8" s="1">
        <v>30000</v>
      </c>
      <c r="D8" s="1">
        <v>30</v>
      </c>
      <c r="E8" s="1">
        <v>3</v>
      </c>
      <c r="F8" s="1">
        <v>27</v>
      </c>
      <c r="G8" s="9">
        <f>Table3[[#This Row],[Fixed Basic]]/Table3[[#This Row],[Working Day]]*Table3[[#This Row],[Present]]</f>
        <v>27000</v>
      </c>
      <c r="H8" s="9">
        <f>Table3[[#This Row],[Basic]]*$H$2</f>
        <v>5400</v>
      </c>
      <c r="I8" s="9">
        <f>Table3[[#This Row],[Basic]]*$I$2</f>
        <v>4050</v>
      </c>
      <c r="J8" s="9">
        <f>Table3[[#This Row],[Basic]]*$J$2</f>
        <v>540</v>
      </c>
      <c r="K8" s="10">
        <f>SUM(G8:J8)</f>
        <v>36990</v>
      </c>
      <c r="L8" s="9">
        <f>Table3[[#This Row],[Basic]]*$L$2</f>
        <v>1350</v>
      </c>
      <c r="M8" s="9">
        <f>Table3[[#This Row],[Basic]]*$M$2</f>
        <v>270</v>
      </c>
      <c r="N8" s="11">
        <f>SUM(L8:M8)</f>
        <v>1620</v>
      </c>
      <c r="O8" s="9">
        <f>Table3[[#This Row],[Gross Salary]]-Table3[[#This Row],[Total Deduction]]</f>
        <v>35370</v>
      </c>
    </row>
    <row r="9" spans="1:15" ht="18" x14ac:dyDescent="0.3">
      <c r="A9" s="1" t="s">
        <v>21</v>
      </c>
      <c r="B9" s="1" t="s">
        <v>33</v>
      </c>
      <c r="C9" s="1">
        <v>45500</v>
      </c>
      <c r="D9" s="1">
        <v>30</v>
      </c>
      <c r="E9" s="1">
        <v>4</v>
      </c>
      <c r="F9" s="1">
        <v>26</v>
      </c>
      <c r="G9" s="9">
        <f>Table3[[#This Row],[Fixed Basic]]/Table3[[#This Row],[Working Day]]*Table3[[#This Row],[Present]]</f>
        <v>39433.333333333336</v>
      </c>
      <c r="H9" s="9">
        <f>Table3[[#This Row],[Basic]]*$H$2</f>
        <v>7886.6666666666679</v>
      </c>
      <c r="I9" s="9">
        <f>Table3[[#This Row],[Basic]]*$I$2</f>
        <v>5915</v>
      </c>
      <c r="J9" s="9">
        <f>Table3[[#This Row],[Basic]]*$J$2</f>
        <v>788.66666666666674</v>
      </c>
      <c r="K9" s="10">
        <f>SUM(G9:J9)</f>
        <v>54023.666666666664</v>
      </c>
      <c r="L9" s="9">
        <f>Table3[[#This Row],[Basic]]*$L$2</f>
        <v>1971.666666666667</v>
      </c>
      <c r="M9" s="9">
        <f>Table3[[#This Row],[Basic]]*$M$2</f>
        <v>394.33333333333337</v>
      </c>
      <c r="N9" s="11">
        <f>SUM(L9:M9)</f>
        <v>2366.0000000000005</v>
      </c>
      <c r="O9" s="9">
        <f>Table3[[#This Row],[Gross Salary]]-Table3[[#This Row],[Total Deduction]]</f>
        <v>51657.666666666664</v>
      </c>
    </row>
    <row r="10" spans="1:15" ht="18" x14ac:dyDescent="0.3">
      <c r="A10" s="1" t="s">
        <v>22</v>
      </c>
      <c r="B10" s="1" t="s">
        <v>34</v>
      </c>
      <c r="C10" s="1">
        <v>50000</v>
      </c>
      <c r="D10" s="1">
        <v>30</v>
      </c>
      <c r="E10" s="1">
        <v>2</v>
      </c>
      <c r="F10" s="1">
        <v>28</v>
      </c>
      <c r="G10" s="9">
        <f>Table3[[#This Row],[Fixed Basic]]/Table3[[#This Row],[Working Day]]*Table3[[#This Row],[Present]]</f>
        <v>46666.666666666672</v>
      </c>
      <c r="H10" s="9">
        <f>Table3[[#This Row],[Basic]]*$H$2</f>
        <v>9333.3333333333339</v>
      </c>
      <c r="I10" s="9">
        <f>Table3[[#This Row],[Basic]]*$I$2</f>
        <v>7000.0000000000009</v>
      </c>
      <c r="J10" s="9">
        <f>Table3[[#This Row],[Basic]]*$J$2</f>
        <v>933.33333333333348</v>
      </c>
      <c r="K10" s="10">
        <f>SUM(G10:J10)</f>
        <v>63933.333333333343</v>
      </c>
      <c r="L10" s="9">
        <f>Table3[[#This Row],[Basic]]*$L$2</f>
        <v>2333.3333333333335</v>
      </c>
      <c r="M10" s="9">
        <f>Table3[[#This Row],[Basic]]*$M$2</f>
        <v>466.66666666666674</v>
      </c>
      <c r="N10" s="11">
        <f>SUM(L10:M10)</f>
        <v>2800</v>
      </c>
      <c r="O10" s="9">
        <f>Table3[[#This Row],[Gross Salary]]-Table3[[#This Row],[Total Deduction]]</f>
        <v>61133.333333333343</v>
      </c>
    </row>
    <row r="11" spans="1:15" ht="18" x14ac:dyDescent="0.3">
      <c r="A11" s="1" t="s">
        <v>23</v>
      </c>
      <c r="B11" s="1" t="s">
        <v>35</v>
      </c>
      <c r="C11" s="1">
        <v>60000</v>
      </c>
      <c r="D11" s="1">
        <v>30</v>
      </c>
      <c r="E11" s="1"/>
      <c r="F11" s="1">
        <v>30</v>
      </c>
      <c r="G11" s="9">
        <f>Table3[[#This Row],[Fixed Basic]]/Table3[[#This Row],[Working Day]]*Table3[[#This Row],[Present]]</f>
        <v>60000</v>
      </c>
      <c r="H11" s="9">
        <f>Table3[[#This Row],[Basic]]*$H$2</f>
        <v>12000</v>
      </c>
      <c r="I11" s="9">
        <f>Table3[[#This Row],[Basic]]*$I$2</f>
        <v>9000</v>
      </c>
      <c r="J11" s="9">
        <f>Table3[[#This Row],[Basic]]*$J$2</f>
        <v>1200</v>
      </c>
      <c r="K11" s="10">
        <f>SUM(G11:J11)</f>
        <v>82200</v>
      </c>
      <c r="L11" s="9">
        <f>Table3[[#This Row],[Basic]]*$L$2</f>
        <v>3000</v>
      </c>
      <c r="M11" s="9">
        <f>Table3[[#This Row],[Basic]]*$M$2</f>
        <v>600</v>
      </c>
      <c r="N11" s="11">
        <f>SUM(L11:M11)</f>
        <v>3600</v>
      </c>
      <c r="O11" s="9">
        <f>Table3[[#This Row],[Gross Salary]]-Table3[[#This Row],[Total Deduction]]</f>
        <v>78600</v>
      </c>
    </row>
    <row r="12" spans="1:15" ht="18" x14ac:dyDescent="0.3">
      <c r="A12" s="1" t="s">
        <v>24</v>
      </c>
      <c r="B12" s="1" t="s">
        <v>36</v>
      </c>
      <c r="C12" s="1">
        <v>20500</v>
      </c>
      <c r="D12" s="1">
        <v>30</v>
      </c>
      <c r="E12" s="1">
        <v>2</v>
      </c>
      <c r="F12" s="1">
        <v>28</v>
      </c>
      <c r="G12" s="9">
        <f>Table3[[#This Row],[Fixed Basic]]/Table3[[#This Row],[Working Day]]*Table3[[#This Row],[Present]]</f>
        <v>19133.333333333336</v>
      </c>
      <c r="H12" s="9">
        <f>Table3[[#This Row],[Basic]]*$H$2</f>
        <v>3826.6666666666674</v>
      </c>
      <c r="I12" s="9">
        <f>Table3[[#This Row],[Basic]]*$I$2</f>
        <v>2870.0000000000005</v>
      </c>
      <c r="J12" s="9">
        <f>Table3[[#This Row],[Basic]]*$J$2</f>
        <v>382.66666666666674</v>
      </c>
      <c r="K12" s="10">
        <f>SUM(G12:J12)</f>
        <v>26212.666666666672</v>
      </c>
      <c r="L12" s="9">
        <f>Table3[[#This Row],[Basic]]*$L$2</f>
        <v>956.66666666666686</v>
      </c>
      <c r="M12" s="9">
        <f>Table3[[#This Row],[Basic]]*$M$2</f>
        <v>191.33333333333337</v>
      </c>
      <c r="N12" s="11">
        <f>SUM(L12:M12)</f>
        <v>1148.0000000000002</v>
      </c>
      <c r="O12" s="9">
        <f>Table3[[#This Row],[Gross Salary]]-Table3[[#This Row],[Total Deduction]]</f>
        <v>25064.666666666672</v>
      </c>
    </row>
    <row r="13" spans="1:15" ht="18" x14ac:dyDescent="0.3">
      <c r="A13" s="1" t="s">
        <v>25</v>
      </c>
      <c r="B13" s="1" t="s">
        <v>37</v>
      </c>
      <c r="C13" s="1">
        <v>24600</v>
      </c>
      <c r="D13" s="1">
        <v>30</v>
      </c>
      <c r="E13" s="1">
        <v>1</v>
      </c>
      <c r="F13" s="1">
        <v>29</v>
      </c>
      <c r="G13" s="9">
        <f>Table3[[#This Row],[Fixed Basic]]/Table3[[#This Row],[Working Day]]*Table3[[#This Row],[Present]]</f>
        <v>23780</v>
      </c>
      <c r="H13" s="9">
        <f>Table3[[#This Row],[Basic]]*$H$2</f>
        <v>4756</v>
      </c>
      <c r="I13" s="9">
        <f>Table3[[#This Row],[Basic]]*$I$2</f>
        <v>3567</v>
      </c>
      <c r="J13" s="9">
        <f>Table3[[#This Row],[Basic]]*$J$2</f>
        <v>475.6</v>
      </c>
      <c r="K13" s="10">
        <f>SUM(G13:J13)</f>
        <v>32578.6</v>
      </c>
      <c r="L13" s="9">
        <f>Table3[[#This Row],[Basic]]*$L$2</f>
        <v>1189</v>
      </c>
      <c r="M13" s="9">
        <f>Table3[[#This Row],[Basic]]*$M$2</f>
        <v>237.8</v>
      </c>
      <c r="N13" s="11">
        <f>SUM(L13:M13)</f>
        <v>1426.8</v>
      </c>
      <c r="O13" s="9">
        <f>Table3[[#This Row],[Gross Salary]]-Table3[[#This Row],[Total Deduction]]</f>
        <v>31151.8</v>
      </c>
    </row>
    <row r="14" spans="1:15" ht="18" x14ac:dyDescent="0.3">
      <c r="A14" s="1" t="s">
        <v>26</v>
      </c>
      <c r="B14" s="1" t="s">
        <v>38</v>
      </c>
      <c r="C14" s="1">
        <v>42000</v>
      </c>
      <c r="D14" s="1">
        <v>30</v>
      </c>
      <c r="E14" s="1"/>
      <c r="F14" s="1">
        <v>30</v>
      </c>
      <c r="G14" s="9">
        <f>Table3[[#This Row],[Fixed Basic]]/Table3[[#This Row],[Working Day]]*Table3[[#This Row],[Present]]</f>
        <v>42000</v>
      </c>
      <c r="H14" s="9">
        <f>Table3[[#This Row],[Basic]]*$H$2</f>
        <v>8400</v>
      </c>
      <c r="I14" s="9">
        <f>Table3[[#This Row],[Basic]]*$I$2</f>
        <v>6300</v>
      </c>
      <c r="J14" s="9">
        <f>Table3[[#This Row],[Basic]]*$J$2</f>
        <v>840</v>
      </c>
      <c r="K14" s="10">
        <f>SUM(G14:J14)</f>
        <v>57540</v>
      </c>
      <c r="L14" s="9">
        <f>Table3[[#This Row],[Basic]]*$L$2</f>
        <v>2100</v>
      </c>
      <c r="M14" s="9">
        <f>Table3[[#This Row],[Basic]]*$M$2</f>
        <v>420</v>
      </c>
      <c r="N14" s="11">
        <f>SUM(L14:M14)</f>
        <v>2520</v>
      </c>
      <c r="O14" s="9">
        <f>Table3[[#This Row],[Gross Salary]]-Table3[[#This Row],[Total Deduction]]</f>
        <v>55020</v>
      </c>
    </row>
    <row r="15" spans="1:15" ht="18" x14ac:dyDescent="0.3">
      <c r="A15" s="1" t="s">
        <v>27</v>
      </c>
      <c r="B15" s="1" t="s">
        <v>39</v>
      </c>
      <c r="C15" s="1">
        <v>62000</v>
      </c>
      <c r="D15" s="1">
        <v>30</v>
      </c>
      <c r="E15" s="1">
        <v>3</v>
      </c>
      <c r="F15" s="1">
        <v>27</v>
      </c>
      <c r="G15" s="9">
        <f>Table3[[#This Row],[Fixed Basic]]/Table3[[#This Row],[Working Day]]*Table3[[#This Row],[Present]]</f>
        <v>55799.999999999993</v>
      </c>
      <c r="H15" s="9">
        <f>Table3[[#This Row],[Basic]]*$H$2</f>
        <v>11160</v>
      </c>
      <c r="I15" s="9">
        <f>Table3[[#This Row],[Basic]]*$I$2</f>
        <v>8369.9999999999982</v>
      </c>
      <c r="J15" s="9">
        <f>Table3[[#This Row],[Basic]]*$J$2</f>
        <v>1115.9999999999998</v>
      </c>
      <c r="K15" s="10">
        <f>SUM(G15:J15)</f>
        <v>76446</v>
      </c>
      <c r="L15" s="9">
        <f>Table3[[#This Row],[Basic]]*$L$2</f>
        <v>2790</v>
      </c>
      <c r="M15" s="9">
        <f>Table3[[#This Row],[Basic]]*$M$2</f>
        <v>557.99999999999989</v>
      </c>
      <c r="N15" s="11">
        <f>SUM(L15:M15)</f>
        <v>3348</v>
      </c>
      <c r="O15" s="9">
        <f>Table3[[#This Row],[Gross Salary]]-Table3[[#This Row],[Total Deduction]]</f>
        <v>73098</v>
      </c>
    </row>
    <row r="16" spans="1:15" ht="18" x14ac:dyDescent="0.3">
      <c r="A16" s="1" t="s">
        <v>28</v>
      </c>
      <c r="B16" s="1" t="s">
        <v>40</v>
      </c>
      <c r="C16" s="1">
        <v>39500</v>
      </c>
      <c r="D16" s="1">
        <v>30</v>
      </c>
      <c r="E16" s="1">
        <v>1</v>
      </c>
      <c r="F16" s="1">
        <v>29</v>
      </c>
      <c r="G16" s="9">
        <f>Table3[[#This Row],[Fixed Basic]]/Table3[[#This Row],[Working Day]]*Table3[[#This Row],[Present]]</f>
        <v>38183.333333333336</v>
      </c>
      <c r="H16" s="9">
        <f>Table3[[#This Row],[Basic]]*$H$2</f>
        <v>7636.6666666666679</v>
      </c>
      <c r="I16" s="9">
        <f>Table3[[#This Row],[Basic]]*$I$2</f>
        <v>5727.5</v>
      </c>
      <c r="J16" s="9">
        <f>Table3[[#This Row],[Basic]]*$J$2</f>
        <v>763.66666666666674</v>
      </c>
      <c r="K16" s="10">
        <f>SUM(G16:J16)</f>
        <v>52311.166666666664</v>
      </c>
      <c r="L16" s="9">
        <f>Table3[[#This Row],[Basic]]*$L$2</f>
        <v>1909.166666666667</v>
      </c>
      <c r="M16" s="9">
        <f>Table3[[#This Row],[Basic]]*$M$2</f>
        <v>381.83333333333337</v>
      </c>
      <c r="N16" s="11">
        <f>SUM(L16:M16)</f>
        <v>2291.0000000000005</v>
      </c>
      <c r="O16" s="9">
        <f>Table3[[#This Row],[Gross Salary]]-Table3[[#This Row],[Total Deduction]]</f>
        <v>50020.166666666664</v>
      </c>
    </row>
  </sheetData>
  <mergeCells count="6">
    <mergeCell ref="A1:B1"/>
    <mergeCell ref="H3:K3"/>
    <mergeCell ref="L3:N3"/>
    <mergeCell ref="C1:D1"/>
    <mergeCell ref="C2:D2"/>
    <mergeCell ref="C3:D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1"/>
  <sheetViews>
    <sheetView topLeftCell="E2" workbookViewId="0">
      <selection activeCell="O18" sqref="O18"/>
    </sheetView>
  </sheetViews>
  <sheetFormatPr defaultRowHeight="14.4" x14ac:dyDescent="0.3"/>
  <cols>
    <col min="2" max="2" width="21.21875" customWidth="1"/>
    <col min="3" max="3" width="19.33203125" customWidth="1"/>
    <col min="4" max="4" width="20.6640625" customWidth="1"/>
    <col min="5" max="5" width="11.6640625" customWidth="1"/>
    <col min="6" max="6" width="13.33203125" customWidth="1"/>
    <col min="7" max="7" width="15.21875" customWidth="1"/>
    <col min="8" max="8" width="17.6640625" customWidth="1"/>
    <col min="9" max="9" width="19.5546875" customWidth="1"/>
    <col min="10" max="10" width="14.21875" customWidth="1"/>
    <col min="11" max="11" width="13.44140625" customWidth="1"/>
    <col min="12" max="12" width="23.44140625" customWidth="1"/>
    <col min="13" max="13" width="11.33203125" customWidth="1"/>
    <col min="14" max="14" width="11.77734375" customWidth="1"/>
    <col min="15" max="15" width="28.5546875" customWidth="1"/>
    <col min="16" max="16" width="25.77734375" customWidth="1"/>
  </cols>
  <sheetData>
    <row r="3" spans="2:16" ht="20.399999999999999" x14ac:dyDescent="0.3">
      <c r="B3" s="27" t="s">
        <v>0</v>
      </c>
      <c r="C3" s="27" t="s">
        <v>1</v>
      </c>
      <c r="D3" s="27" t="s">
        <v>2</v>
      </c>
      <c r="E3" s="27" t="s">
        <v>45</v>
      </c>
      <c r="F3" s="27" t="s">
        <v>49</v>
      </c>
      <c r="G3" s="27" t="s">
        <v>5</v>
      </c>
      <c r="H3" s="27" t="s">
        <v>6</v>
      </c>
      <c r="I3" s="27" t="s">
        <v>46</v>
      </c>
      <c r="J3" s="27" t="s">
        <v>47</v>
      </c>
      <c r="K3" s="27" t="s">
        <v>50</v>
      </c>
      <c r="L3" s="27" t="s">
        <v>10</v>
      </c>
      <c r="M3" s="27" t="s">
        <v>11</v>
      </c>
      <c r="N3" s="27" t="s">
        <v>12</v>
      </c>
      <c r="O3" s="27" t="s">
        <v>48</v>
      </c>
      <c r="P3" s="27" t="s">
        <v>51</v>
      </c>
    </row>
    <row r="4" spans="2:16" ht="18" x14ac:dyDescent="0.3">
      <c r="B4" s="17" t="s">
        <v>17</v>
      </c>
      <c r="C4" s="17" t="s">
        <v>29</v>
      </c>
      <c r="D4" s="17">
        <v>26457</v>
      </c>
      <c r="E4" s="17">
        <v>30</v>
      </c>
      <c r="F4" s="17">
        <v>2</v>
      </c>
      <c r="G4" s="17">
        <v>28</v>
      </c>
      <c r="H4" s="18">
        <f>Table1[[#This Row],[Fixed Basic]]/30*Table1[[#This Row],[Present]]</f>
        <v>24693.200000000001</v>
      </c>
      <c r="I4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8642.619999999999</v>
      </c>
      <c r="J4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2469.3200000000002</v>
      </c>
      <c r="K4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1975.4560000000001</v>
      </c>
      <c r="L4" s="19">
        <f t="shared" ref="L4:L15" si="0">SUM(H4:K4)</f>
        <v>37780.595999999998</v>
      </c>
      <c r="M4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2469.3200000000002</v>
      </c>
      <c r="N4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740.79600000000005</v>
      </c>
      <c r="O4" s="20">
        <f t="shared" ref="O4:O15" si="1">SUM(M4:N4)</f>
        <v>3210.116</v>
      </c>
      <c r="P4" s="18">
        <f>Table1[[#This Row],[Gross Salary]]-Table1[[#This Row],[Total Deductidon]]</f>
        <v>34570.479999999996</v>
      </c>
    </row>
    <row r="5" spans="2:16" ht="18" x14ac:dyDescent="0.3">
      <c r="B5" s="21" t="s">
        <v>18</v>
      </c>
      <c r="C5" s="21" t="s">
        <v>30</v>
      </c>
      <c r="D5" s="21">
        <v>55400</v>
      </c>
      <c r="E5" s="21">
        <v>30</v>
      </c>
      <c r="F5" s="21"/>
      <c r="G5" s="21">
        <v>30</v>
      </c>
      <c r="H5" s="22">
        <f>Table1[[#This Row],[Fixed Basic]]/30*Table1[[#This Row],[Present]]</f>
        <v>55400</v>
      </c>
      <c r="I5" s="22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13850</v>
      </c>
      <c r="J5" s="22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4432</v>
      </c>
      <c r="K5" s="22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3324</v>
      </c>
      <c r="L5" s="19">
        <f t="shared" si="0"/>
        <v>77006</v>
      </c>
      <c r="M5" s="22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4432</v>
      </c>
      <c r="N5" s="22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554</v>
      </c>
      <c r="O5" s="20">
        <f t="shared" si="1"/>
        <v>4986</v>
      </c>
      <c r="P5" s="22">
        <f>Table1[[#This Row],[Gross Salary]]-Table1[[#This Row],[Total Deductidon]]</f>
        <v>72020</v>
      </c>
    </row>
    <row r="6" spans="2:16" ht="18" x14ac:dyDescent="0.3">
      <c r="B6" s="17" t="s">
        <v>19</v>
      </c>
      <c r="C6" s="17" t="s">
        <v>31</v>
      </c>
      <c r="D6" s="17">
        <v>35500</v>
      </c>
      <c r="E6" s="17">
        <v>30</v>
      </c>
      <c r="F6" s="17">
        <v>1</v>
      </c>
      <c r="G6" s="17">
        <v>29</v>
      </c>
      <c r="H6" s="18">
        <f>Table1[[#This Row],[Fixed Basic]]/30*Table1[[#This Row],[Present]]</f>
        <v>34316.666666666664</v>
      </c>
      <c r="I6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10294.999999999998</v>
      </c>
      <c r="J6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3088.4999999999995</v>
      </c>
      <c r="K6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2402.1666666666665</v>
      </c>
      <c r="L6" s="19">
        <f t="shared" si="0"/>
        <v>50102.333333333328</v>
      </c>
      <c r="M6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3088.4999999999995</v>
      </c>
      <c r="N6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686.33333333333326</v>
      </c>
      <c r="O6" s="20">
        <f t="shared" si="1"/>
        <v>3774.833333333333</v>
      </c>
      <c r="P6" s="18">
        <f>Table1[[#This Row],[Gross Salary]]-Table1[[#This Row],[Total Deductidon]]</f>
        <v>46327.499999999993</v>
      </c>
    </row>
    <row r="7" spans="2:16" ht="18" x14ac:dyDescent="0.3">
      <c r="B7" s="21" t="s">
        <v>20</v>
      </c>
      <c r="C7" s="21" t="s">
        <v>32</v>
      </c>
      <c r="D7" s="21">
        <v>30000</v>
      </c>
      <c r="E7" s="21">
        <v>30</v>
      </c>
      <c r="F7" s="21">
        <v>3</v>
      </c>
      <c r="G7" s="21">
        <v>27</v>
      </c>
      <c r="H7" s="22">
        <f>Table1[[#This Row],[Fixed Basic]]/30*Table1[[#This Row],[Present]]</f>
        <v>27000</v>
      </c>
      <c r="I7" s="22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9450</v>
      </c>
      <c r="J7" s="22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2700</v>
      </c>
      <c r="K7" s="22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2160</v>
      </c>
      <c r="L7" s="19">
        <f t="shared" si="0"/>
        <v>41310</v>
      </c>
      <c r="M7" s="22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2700</v>
      </c>
      <c r="N7" s="22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810</v>
      </c>
      <c r="O7" s="20">
        <f t="shared" si="1"/>
        <v>3510</v>
      </c>
      <c r="P7" s="22">
        <f>Table1[[#This Row],[Gross Salary]]-Table1[[#This Row],[Total Deductidon]]</f>
        <v>37800</v>
      </c>
    </row>
    <row r="8" spans="2:16" ht="18" x14ac:dyDescent="0.3">
      <c r="B8" s="17" t="s">
        <v>21</v>
      </c>
      <c r="C8" s="17" t="s">
        <v>33</v>
      </c>
      <c r="D8" s="17">
        <v>45500</v>
      </c>
      <c r="E8" s="17">
        <v>30</v>
      </c>
      <c r="F8" s="17">
        <v>4</v>
      </c>
      <c r="G8" s="17">
        <v>26</v>
      </c>
      <c r="H8" s="18">
        <f>Table1[[#This Row],[Fixed Basic]]/30*Table1[[#This Row],[Present]]</f>
        <v>39433.333333333336</v>
      </c>
      <c r="I8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11830</v>
      </c>
      <c r="J8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3549</v>
      </c>
      <c r="K8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2760.3333333333339</v>
      </c>
      <c r="L8" s="19">
        <f t="shared" si="0"/>
        <v>57572.666666666672</v>
      </c>
      <c r="M8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3549</v>
      </c>
      <c r="N8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788.66666666666674</v>
      </c>
      <c r="O8" s="20">
        <f t="shared" si="1"/>
        <v>4337.666666666667</v>
      </c>
      <c r="P8" s="18">
        <f>Table1[[#This Row],[Gross Salary]]-Table1[[#This Row],[Total Deductidon]]</f>
        <v>53235.000000000007</v>
      </c>
    </row>
    <row r="9" spans="2:16" ht="18" x14ac:dyDescent="0.3">
      <c r="B9" s="21" t="s">
        <v>22</v>
      </c>
      <c r="C9" s="21" t="s">
        <v>34</v>
      </c>
      <c r="D9" s="21">
        <v>50000</v>
      </c>
      <c r="E9" s="21">
        <v>30</v>
      </c>
      <c r="F9" s="21">
        <v>2</v>
      </c>
      <c r="G9" s="21">
        <v>28</v>
      </c>
      <c r="H9" s="22">
        <f>Table1[[#This Row],[Fixed Basic]]/30*Table1[[#This Row],[Present]]</f>
        <v>46666.666666666672</v>
      </c>
      <c r="I9" s="22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11666.666666666668</v>
      </c>
      <c r="J9" s="22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3733.3333333333339</v>
      </c>
      <c r="K9" s="22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2800</v>
      </c>
      <c r="L9" s="19">
        <f t="shared" si="0"/>
        <v>64866.666666666679</v>
      </c>
      <c r="M9" s="22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3733.3333333333339</v>
      </c>
      <c r="N9" s="22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466.66666666666674</v>
      </c>
      <c r="O9" s="20">
        <f t="shared" si="1"/>
        <v>4200.0000000000009</v>
      </c>
      <c r="P9" s="22">
        <f>Table1[[#This Row],[Gross Salary]]-Table1[[#This Row],[Total Deductidon]]</f>
        <v>60666.666666666679</v>
      </c>
    </row>
    <row r="10" spans="2:16" ht="18" x14ac:dyDescent="0.3">
      <c r="B10" s="17" t="s">
        <v>23</v>
      </c>
      <c r="C10" s="17" t="s">
        <v>35</v>
      </c>
      <c r="D10" s="17">
        <v>62000</v>
      </c>
      <c r="E10" s="17">
        <v>30</v>
      </c>
      <c r="F10" s="17"/>
      <c r="G10" s="17">
        <v>30</v>
      </c>
      <c r="H10" s="18">
        <f>Table1[[#This Row],[Fixed Basic]]/30*Table1[[#This Row],[Present]]</f>
        <v>61999.999999999993</v>
      </c>
      <c r="I10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12400</v>
      </c>
      <c r="J10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3719.9999999999995</v>
      </c>
      <c r="K10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3100</v>
      </c>
      <c r="L10" s="19">
        <f t="shared" si="0"/>
        <v>81220</v>
      </c>
      <c r="M10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4340</v>
      </c>
      <c r="N10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619.99999999999989</v>
      </c>
      <c r="O10" s="20">
        <f t="shared" si="1"/>
        <v>4960</v>
      </c>
      <c r="P10" s="18">
        <f>Table1[[#This Row],[Gross Salary]]-Table1[[#This Row],[Total Deductidon]]</f>
        <v>76260</v>
      </c>
    </row>
    <row r="11" spans="2:16" ht="18" x14ac:dyDescent="0.3">
      <c r="B11" s="21" t="s">
        <v>24</v>
      </c>
      <c r="C11" s="21" t="s">
        <v>36</v>
      </c>
      <c r="D11" s="21">
        <v>22500</v>
      </c>
      <c r="E11" s="21">
        <v>30</v>
      </c>
      <c r="F11" s="21">
        <v>2</v>
      </c>
      <c r="G11" s="21">
        <v>28</v>
      </c>
      <c r="H11" s="22">
        <f>Table1[[#This Row],[Fixed Basic]]/30*Table1[[#This Row],[Present]]</f>
        <v>21000</v>
      </c>
      <c r="I11" s="22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7349.9999999999991</v>
      </c>
      <c r="J11" s="22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2100</v>
      </c>
      <c r="K11" s="22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1680</v>
      </c>
      <c r="L11" s="19">
        <f t="shared" si="0"/>
        <v>32130</v>
      </c>
      <c r="M11" s="22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2100</v>
      </c>
      <c r="N11" s="22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630</v>
      </c>
      <c r="O11" s="20">
        <f t="shared" si="1"/>
        <v>2730</v>
      </c>
      <c r="P11" s="22">
        <f>Table1[[#This Row],[Gross Salary]]-Table1[[#This Row],[Total Deductidon]]</f>
        <v>29400</v>
      </c>
    </row>
    <row r="12" spans="2:16" ht="18" x14ac:dyDescent="0.3">
      <c r="B12" s="17" t="s">
        <v>25</v>
      </c>
      <c r="C12" s="17" t="s">
        <v>37</v>
      </c>
      <c r="D12" s="17">
        <v>24600</v>
      </c>
      <c r="E12" s="17">
        <v>30</v>
      </c>
      <c r="F12" s="17">
        <v>1</v>
      </c>
      <c r="G12" s="17">
        <v>29</v>
      </c>
      <c r="H12" s="18">
        <f>Table1[[#This Row],[Fixed Basic]]/30*Table1[[#This Row],[Present]]</f>
        <v>23780</v>
      </c>
      <c r="I12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8323</v>
      </c>
      <c r="J12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2378</v>
      </c>
      <c r="K12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1902.4</v>
      </c>
      <c r="L12" s="19">
        <f t="shared" si="0"/>
        <v>36383.4</v>
      </c>
      <c r="M12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2378</v>
      </c>
      <c r="N12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713.4</v>
      </c>
      <c r="O12" s="20">
        <f t="shared" si="1"/>
        <v>3091.4</v>
      </c>
      <c r="P12" s="18">
        <f>Table1[[#This Row],[Gross Salary]]-Table1[[#This Row],[Total Deductidon]]</f>
        <v>33292</v>
      </c>
    </row>
    <row r="13" spans="2:16" ht="18" x14ac:dyDescent="0.3">
      <c r="B13" s="21" t="s">
        <v>26</v>
      </c>
      <c r="C13" s="21" t="s">
        <v>38</v>
      </c>
      <c r="D13" s="21">
        <v>42000</v>
      </c>
      <c r="E13" s="21">
        <v>30</v>
      </c>
      <c r="F13" s="21"/>
      <c r="G13" s="21">
        <v>30</v>
      </c>
      <c r="H13" s="22">
        <f>Table1[[#This Row],[Fixed Basic]]/30*Table1[[#This Row],[Present]]</f>
        <v>42000</v>
      </c>
      <c r="I13" s="22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10500</v>
      </c>
      <c r="J13" s="22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3360</v>
      </c>
      <c r="K13" s="22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2520</v>
      </c>
      <c r="L13" s="19">
        <f t="shared" si="0"/>
        <v>58380</v>
      </c>
      <c r="M13" s="22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3360</v>
      </c>
      <c r="N13" s="22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420</v>
      </c>
      <c r="O13" s="20">
        <f t="shared" si="1"/>
        <v>3780</v>
      </c>
      <c r="P13" s="22">
        <f>Table1[[#This Row],[Gross Salary]]-Table1[[#This Row],[Total Deductidon]]</f>
        <v>54600</v>
      </c>
    </row>
    <row r="14" spans="2:16" ht="18" x14ac:dyDescent="0.3">
      <c r="B14" s="17" t="s">
        <v>27</v>
      </c>
      <c r="C14" s="17" t="s">
        <v>39</v>
      </c>
      <c r="D14" s="17">
        <v>62000</v>
      </c>
      <c r="E14" s="17">
        <v>30</v>
      </c>
      <c r="F14" s="17">
        <v>3</v>
      </c>
      <c r="G14" s="17">
        <v>27</v>
      </c>
      <c r="H14" s="18">
        <f>Table1[[#This Row],[Fixed Basic]]/30*Table1[[#This Row],[Present]]</f>
        <v>55799.999999999993</v>
      </c>
      <c r="I14" s="18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13949.999999999998</v>
      </c>
      <c r="J14" s="18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4463.9999999999991</v>
      </c>
      <c r="K14" s="18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3347.9999999999995</v>
      </c>
      <c r="L14" s="19">
        <f t="shared" si="0"/>
        <v>77561.999999999985</v>
      </c>
      <c r="M14" s="18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4463.9999999999991</v>
      </c>
      <c r="N14" s="18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557.99999999999989</v>
      </c>
      <c r="O14" s="20">
        <f t="shared" si="1"/>
        <v>5021.9999999999991</v>
      </c>
      <c r="P14" s="18">
        <f>Table1[[#This Row],[Gross Salary]]-Table1[[#This Row],[Total Deductidon]]</f>
        <v>72539.999999999985</v>
      </c>
    </row>
    <row r="15" spans="2:16" ht="18" x14ac:dyDescent="0.3">
      <c r="B15" s="23" t="s">
        <v>28</v>
      </c>
      <c r="C15" s="23" t="s">
        <v>40</v>
      </c>
      <c r="D15" s="23">
        <v>39500</v>
      </c>
      <c r="E15" s="23">
        <v>30</v>
      </c>
      <c r="F15" s="23">
        <v>1</v>
      </c>
      <c r="G15" s="23">
        <v>29</v>
      </c>
      <c r="H15" s="24">
        <f>Table1[[#This Row],[Fixed Basic]]/30*Table1[[#This Row],[Present]]</f>
        <v>38183.333333333336</v>
      </c>
      <c r="I15" s="24">
        <f>IF(AND(Table1[[#This Row],[Basic]]&gt;20000,Table1[[#This Row],[Basic]]&lt;30000),Table1[[#This Row],[Basic]]*$C$18,IF(AND(Table1[[#This Row],[Basic]]&gt;30000,Table1[[#This Row],[Basic]]&lt;40000),Table1[[#This Row],[Basic]]*$C$19,IF(AND(Table1[[#This Row],[Basic]]&gt;40000,Table1[[#This Row],[Basic]]&lt;60000),Table1[[#This Row],[Basic]]*$C$20,IF(Table1[[#This Row],[Basic]]&gt;60000,Table1[[#This Row],[Basic]]*$C$21))))</f>
        <v>11455</v>
      </c>
      <c r="J15" s="24">
        <f>IF(AND(Table1[[#This Row],[Basic]]&gt;20000,Table1[[#This Row],[Basic]]&lt;30000),Table1[[#This Row],[Basic]]*$D$18,IF(AND(Table1[[#This Row],[Basic]]&gt;30000,Table1[[#This Row],[Basic]]&lt;40000),Table1[[#This Row],[Basic]]*$D$19,IF(AND(Table1[[#This Row],[Basic]]&gt;40000,Table1[[#This Row],[Basic]]&lt;60000),Table1[[#This Row],[Basic]]*$D$20,IF(Table1[[#This Row],[Basic]]&gt;6000,Table1[[#This Row],[Basic]]*$D$21))))</f>
        <v>3436.5</v>
      </c>
      <c r="K15" s="24">
        <f>IF(AND(Table1[[#This Row],[Basic]]&gt;20000,Table1[[#This Row],[Basic]]&lt;30000),Table1[[#This Row],[Basic]]*$E$18,IF(AND(Table1[[#This Row],[Basic]]&gt;30000,Table1[[#This Row],[Basic]]&lt;40000),Table1[[#This Row],[Basic]]*$E$19,IF(AND(Table1[[#This Row],[Basic]]&gt;40000,Table1[[#This Row],[Basic]]&lt;60000),Table1[[#This Row],[Basic]]*$E$20,IF(Table1[[#This Row],[Basic]]&gt;6000,Table1[[#This Row],[Basic]]*$E$21))))</f>
        <v>2672.8333333333339</v>
      </c>
      <c r="L15" s="25">
        <f t="shared" si="0"/>
        <v>55747.666666666672</v>
      </c>
      <c r="M15" s="24">
        <f>IF(AND(Table1[[#This Row],[Basic]]&gt;20000,Table1[[#This Row],[Basic]]&lt;30000),Table1[[#This Row],[Basic]]*$F$18,IF(AND(Table1[[#This Row],[Basic]]&gt;30000,Table1[[#This Row],[Basic]]&lt;40000),Table1[[#This Row],[Basic]]*$F$19,IF(AND(Table1[[#This Row],[Basic]]&gt;40000,Table1[[#This Row],[Basic]]&lt;60000),Table1[[#This Row],[Basic]]*$F$20,IF(Table1[[#This Row],[Basic]]&gt;6000,Table1[[#This Row],[Basic]]*$F$21))))</f>
        <v>3436.5</v>
      </c>
      <c r="N15" s="24">
        <f>IF(AND(Table1[[#This Row],[Basic]]&gt;20000,Table1[[#This Row],[Basic]]&lt;30000),Table1[[#This Row],[Basic]]*$G$18,IF(AND(Table1[[#This Row],[Basic]]&gt;30000,Table1[[#This Row],[Basic]]&lt;40000),Table1[[#This Row],[Basic]]*$G$19,IF(AND(Table1[[#This Row],[Basic]]&gt;40000,Table1[[#This Row],[Basic]]&lt;60000),Table1[[#This Row],[Basic]]*$G$20,IF(Table1[[#This Row],[Basic]]&gt;6000,Table1[[#This Row],[Basic]]*$G$21))))</f>
        <v>763.66666666666674</v>
      </c>
      <c r="O15" s="26">
        <f t="shared" si="1"/>
        <v>4200.166666666667</v>
      </c>
      <c r="P15" s="24">
        <f>Table1[[#This Row],[Gross Salary]]-Table1[[#This Row],[Total Deductidon]]</f>
        <v>51547.500000000007</v>
      </c>
    </row>
    <row r="17" spans="2:7" ht="22.8" x14ac:dyDescent="0.3">
      <c r="B17" s="30" t="s">
        <v>6</v>
      </c>
      <c r="C17" s="30" t="s">
        <v>46</v>
      </c>
      <c r="D17" s="30" t="s">
        <v>47</v>
      </c>
      <c r="E17" s="30" t="s">
        <v>50</v>
      </c>
      <c r="F17" s="30" t="s">
        <v>11</v>
      </c>
      <c r="G17" s="30" t="s">
        <v>52</v>
      </c>
    </row>
    <row r="18" spans="2:7" x14ac:dyDescent="0.3">
      <c r="B18" s="28" t="s">
        <v>53</v>
      </c>
      <c r="C18" s="29">
        <v>0.35</v>
      </c>
      <c r="D18" s="29">
        <v>0.1</v>
      </c>
      <c r="E18" s="29">
        <v>0.08</v>
      </c>
      <c r="F18" s="29">
        <v>0.1</v>
      </c>
      <c r="G18" s="29">
        <v>0.03</v>
      </c>
    </row>
    <row r="19" spans="2:7" x14ac:dyDescent="0.3">
      <c r="B19" s="28" t="s">
        <v>54</v>
      </c>
      <c r="C19" s="29">
        <v>0.3</v>
      </c>
      <c r="D19" s="29">
        <v>0.09</v>
      </c>
      <c r="E19" s="29">
        <v>7.0000000000000007E-2</v>
      </c>
      <c r="F19" s="29">
        <v>0.09</v>
      </c>
      <c r="G19" s="29">
        <v>0.02</v>
      </c>
    </row>
    <row r="20" spans="2:7" x14ac:dyDescent="0.3">
      <c r="B20" s="28" t="s">
        <v>55</v>
      </c>
      <c r="C20" s="29">
        <v>0.25</v>
      </c>
      <c r="D20" s="29">
        <v>0.08</v>
      </c>
      <c r="E20" s="29">
        <v>0.06</v>
      </c>
      <c r="F20" s="29">
        <v>0.08</v>
      </c>
      <c r="G20" s="29">
        <v>0.01</v>
      </c>
    </row>
    <row r="21" spans="2:7" x14ac:dyDescent="0.3">
      <c r="B21" s="28" t="s">
        <v>56</v>
      </c>
      <c r="C21" s="29">
        <v>0.2</v>
      </c>
      <c r="D21" s="29">
        <v>0.06</v>
      </c>
      <c r="E21" s="29">
        <v>0.05</v>
      </c>
      <c r="F21" s="29">
        <v>7.0000000000000007E-2</v>
      </c>
      <c r="G21" s="29">
        <v>0.01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2025-11-04T03:19:41Z</dcterms:created>
  <dcterms:modified xsi:type="dcterms:W3CDTF">2025-11-05T10:53:29Z</dcterms:modified>
</cp:coreProperties>
</file>