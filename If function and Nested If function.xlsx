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56" windowHeight="8784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4" i="1" l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3" i="1"/>
  <c r="L3" i="1" s="1"/>
  <c r="E18" i="1"/>
  <c r="E19" i="1"/>
  <c r="E20" i="1"/>
  <c r="E21" i="1"/>
  <c r="E22" i="1"/>
  <c r="E23" i="1"/>
  <c r="E24" i="1"/>
  <c r="E25" i="1"/>
  <c r="E26" i="1"/>
  <c r="E27" i="1"/>
  <c r="E28" i="1"/>
  <c r="E29" i="1"/>
  <c r="G5" i="1"/>
  <c r="G3" i="1"/>
  <c r="G4" i="1"/>
  <c r="G6" i="1"/>
  <c r="G7" i="1"/>
  <c r="G8" i="1"/>
  <c r="G9" i="1"/>
  <c r="G10" i="1"/>
  <c r="G11" i="1"/>
  <c r="G12" i="1"/>
  <c r="G13" i="1"/>
  <c r="G14" i="1"/>
  <c r="E3" i="1"/>
  <c r="E4" i="1"/>
  <c r="E5" i="1"/>
  <c r="E6" i="1"/>
  <c r="E7" i="1"/>
  <c r="E8" i="1"/>
  <c r="E9" i="1"/>
  <c r="E10" i="1"/>
  <c r="E11" i="1"/>
  <c r="E12" i="1"/>
  <c r="E13" i="1"/>
  <c r="E14" i="1"/>
  <c r="F3" i="1"/>
  <c r="F4" i="1"/>
  <c r="F5" i="1"/>
  <c r="F6" i="1"/>
  <c r="F7" i="1"/>
  <c r="F8" i="1"/>
  <c r="F9" i="1"/>
  <c r="F10" i="1"/>
  <c r="F11" i="1"/>
  <c r="F12" i="1"/>
  <c r="F13" i="1"/>
  <c r="F14" i="1"/>
</calcChain>
</file>

<file path=xl/sharedStrings.xml><?xml version="1.0" encoding="utf-8"?>
<sst xmlns="http://schemas.openxmlformats.org/spreadsheetml/2006/main" count="83" uniqueCount="56">
  <si>
    <t>Name</t>
  </si>
  <si>
    <t>State</t>
  </si>
  <si>
    <t>Salary</t>
  </si>
  <si>
    <t>Incentive For Salary</t>
  </si>
  <si>
    <t>Salary (USS)</t>
  </si>
  <si>
    <t>Mamun</t>
  </si>
  <si>
    <t>Hasan</t>
  </si>
  <si>
    <t>Oli</t>
  </si>
  <si>
    <t>Jihad</t>
  </si>
  <si>
    <t>Rasel</t>
  </si>
  <si>
    <t>Rajib</t>
  </si>
  <si>
    <t>Utsho</t>
  </si>
  <si>
    <t>Ashik</t>
  </si>
  <si>
    <t>Rohan</t>
  </si>
  <si>
    <t>Rakib</t>
  </si>
  <si>
    <t>Fahad</t>
  </si>
  <si>
    <t>Ontor</t>
  </si>
  <si>
    <t>Madaripur</t>
  </si>
  <si>
    <t>Josore</t>
  </si>
  <si>
    <t>Rangpur</t>
  </si>
  <si>
    <t>Kuakata</t>
  </si>
  <si>
    <t>Barisal</t>
  </si>
  <si>
    <t>Nowga</t>
  </si>
  <si>
    <t>Gazipur</t>
  </si>
  <si>
    <t>Dhaka</t>
  </si>
  <si>
    <t>Gopalgonj</t>
  </si>
  <si>
    <t>Manikgonj</t>
  </si>
  <si>
    <t>Noira</t>
  </si>
  <si>
    <t>Natore</t>
  </si>
  <si>
    <t>&gt;5000</t>
  </si>
  <si>
    <t>Incetive</t>
  </si>
  <si>
    <t>Incetive For Salary(1)</t>
  </si>
  <si>
    <t>Incetive For Salary (2)</t>
  </si>
  <si>
    <t>Incetive For Salary (3)</t>
  </si>
  <si>
    <t xml:space="preserve">Name </t>
  </si>
  <si>
    <t>Monthly Income</t>
  </si>
  <si>
    <t>Status</t>
  </si>
  <si>
    <t>Status Condition</t>
  </si>
  <si>
    <t>Elite</t>
  </si>
  <si>
    <t>&gt;4000</t>
  </si>
  <si>
    <t>Moderate</t>
  </si>
  <si>
    <t>&lt;4000</t>
  </si>
  <si>
    <t>Middle</t>
  </si>
  <si>
    <t>Position</t>
  </si>
  <si>
    <t>&gt;80 is Best</t>
  </si>
  <si>
    <t>&gt;60 is Good</t>
  </si>
  <si>
    <t>&gt;40 is General</t>
  </si>
  <si>
    <t>&lt;33 is Fail</t>
  </si>
  <si>
    <t>Number</t>
  </si>
  <si>
    <t>Condition</t>
  </si>
  <si>
    <t>&gt;33 is Bad</t>
  </si>
  <si>
    <t xml:space="preserve"> is Best</t>
  </si>
  <si>
    <t xml:space="preserve"> is Good</t>
  </si>
  <si>
    <t xml:space="preserve"> is General</t>
  </si>
  <si>
    <t xml:space="preserve"> is Bad</t>
  </si>
  <si>
    <t xml:space="preserve"> is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</si>
</sst>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5" formatCode="_-&quot;$&quot;* #,##0_-;\-&quot;$&quot;* #,##0_-;_-&quot;$&quot;* &quot;-&quot;??_-;_-@_-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1"/>
      <color theme="0" tint="-4.9989318521683403E-2"/>
      <name val="Calibri"/>
      <family val="2"/>
      <charset val="1"/>
      <scheme val="minor"/>
    </font>
    <font>
      <sz val="12"/>
      <color theme="0"/>
      <name val="Times New Roman"/>
      <family val="1"/>
    </font>
    <font>
      <b/>
      <sz val="14"/>
      <name val="Times New Roman"/>
      <family val="1"/>
    </font>
    <font>
      <b/>
      <sz val="11"/>
      <color theme="1"/>
      <name val="Times New Roman"/>
      <family val="1"/>
    </font>
    <font>
      <b/>
      <sz val="18"/>
      <color theme="0"/>
      <name val="Times New Roman"/>
      <family val="1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0" borderId="8" xfId="1" applyNumberFormat="1" applyFont="1" applyBorder="1" applyAlignment="1">
      <alignment horizontal="center" vertical="center"/>
    </xf>
    <xf numFmtId="0" fontId="2" fillId="0" borderId="0" xfId="0" applyFont="1"/>
    <xf numFmtId="0" fontId="4" fillId="5" borderId="0" xfId="0" applyFont="1" applyFill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6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6" borderId="6" xfId="0" applyFont="1" applyFill="1" applyBorder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34">
    <dxf>
      <fill>
        <patternFill>
          <bgColor rgb="FF002060"/>
        </patternFill>
      </fill>
    </dxf>
    <dxf>
      <fill>
        <patternFill>
          <bgColor rgb="FF00B0F0"/>
        </patternFill>
      </fill>
    </dxf>
    <dxf>
      <fill>
        <patternFill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&quot;$&quot;* #,##0_-;\-&quot;$&quot;* #,##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_-&quot;$&quot;* #,##0_-;\-&quot;$&quot;* #,##0_-;_-&quot;$&quot;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2:G14" totalsRowShown="0" headerRowDxfId="27" dataDxfId="33" headerRowBorderDxfId="31" tableBorderDxfId="32" totalsRowBorderDxfId="30">
  <tableColumns count="6">
    <tableColumn id="1" name="Name" dataDxfId="29"/>
    <tableColumn id="2" name="State" dataDxfId="28"/>
    <tableColumn id="3" name="Salary (USS)" dataDxfId="26" dataCellStyle="Currency"/>
    <tableColumn id="5" name="Incetive For Salary(1)" dataDxfId="25" dataCellStyle="Currency">
      <calculatedColumnFormula>IF(Table1[[#This Row],[Salary (USS)]]&gt;=5000,"Bonus",0)</calculatedColumnFormula>
    </tableColumn>
    <tableColumn id="4" name="Incetive For Salary (2)" dataDxfId="24">
      <calculatedColumnFormula>IF(Table1[[#This Row],[Salary (USS)]]&gt;5000,"Incetive:1000","No Incetive:0")</calculatedColumnFormula>
    </tableColumn>
    <tableColumn id="7" name="Incetive For Salary (3)" dataDxfId="23">
      <calculatedColumnFormula>IF(Table1[[#This Row],[Salary (USS)]]&gt;=5000,1000,"I Love You!")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17:E29" totalsRowShown="0" headerRowDxfId="22" dataDxfId="21" headerRowBorderDxfId="19" tableBorderDxfId="20" totalsRowBorderDxfId="18">
  <autoFilter ref="B17:E29"/>
  <tableColumns count="4">
    <tableColumn id="1" name="Name " dataDxfId="17"/>
    <tableColumn id="2" name="State" dataDxfId="16"/>
    <tableColumn id="3" name="Monthly Income" dataDxfId="15" dataCellStyle="Currency"/>
    <tableColumn id="4" name="Status" dataDxfId="14">
      <calculatedColumnFormula>IF(Table2[[#This Row],[Monthly Income]]&gt;5000,"Elite",IF(Table2[[#This Row],[Monthly Income]]&gt;4000,"Moderate",IF(Table2[[#This Row],[Monthly Income]]&lt;4000,"Middle")))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K2:L16" totalsRowShown="0" headerRowDxfId="8" dataDxfId="13" headerRowBorderDxfId="11" tableBorderDxfId="12" totalsRowBorderDxfId="10">
  <autoFilter ref="K2:L16"/>
  <tableColumns count="2">
    <tableColumn id="1" name="Number" dataDxfId="9">
      <calculatedColumnFormula>RANDBETWEEN(10,100)</calculatedColumnFormula>
    </tableColumn>
    <tableColumn id="7" name="Position" dataDxfId="7">
      <calculatedColumnFormula>IF(Table5[[#This Row],[Number]]&gt;80,"is Best",IF(Table5[[#This Row],[Number]]&gt;60,"is Good",IF(Table5[[#This Row],[Number]]&gt;40,"is General",IF(Table5[[#This Row],[Number]]&gt;33,"is Bad",IF(Table5[[#This Row],[Number]]&lt;33,"Fail")))))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9"/>
  <sheetViews>
    <sheetView tabSelected="1" showWhiteSpace="0" zoomScaleNormal="100" workbookViewId="0">
      <selection activeCell="J15" sqref="J15"/>
    </sheetView>
  </sheetViews>
  <sheetFormatPr defaultRowHeight="14.4" x14ac:dyDescent="0.3"/>
  <cols>
    <col min="2" max="2" width="15" customWidth="1"/>
    <col min="3" max="3" width="14.33203125" customWidth="1"/>
    <col min="4" max="4" width="22.109375" customWidth="1"/>
    <col min="5" max="5" width="24.109375" customWidth="1"/>
    <col min="6" max="6" width="24.21875" customWidth="1"/>
    <col min="7" max="7" width="21.44140625" customWidth="1"/>
    <col min="8" max="8" width="17.21875" customWidth="1"/>
    <col min="9" max="10" width="11.44140625" customWidth="1"/>
    <col min="11" max="12" width="14.109375" customWidth="1"/>
    <col min="13" max="13" width="16.88671875" customWidth="1"/>
    <col min="14" max="14" width="19.109375" customWidth="1"/>
    <col min="15" max="15" width="18.44140625" customWidth="1"/>
    <col min="16" max="16" width="17.77734375" customWidth="1"/>
    <col min="17" max="17" width="17.21875" customWidth="1"/>
  </cols>
  <sheetData>
    <row r="1" spans="2:16" ht="43.8" customHeight="1" x14ac:dyDescent="0.3">
      <c r="K1" s="1"/>
      <c r="L1" s="1"/>
      <c r="M1" s="1"/>
      <c r="N1" s="1"/>
      <c r="O1" s="1"/>
      <c r="P1" s="1"/>
    </row>
    <row r="2" spans="2:16" ht="27" customHeight="1" x14ac:dyDescent="0.3">
      <c r="B2" s="2" t="s">
        <v>0</v>
      </c>
      <c r="C2" s="3" t="s">
        <v>1</v>
      </c>
      <c r="D2" s="3" t="s">
        <v>4</v>
      </c>
      <c r="E2" s="4" t="s">
        <v>31</v>
      </c>
      <c r="F2" s="4" t="s">
        <v>32</v>
      </c>
      <c r="G2" s="3" t="s">
        <v>33</v>
      </c>
      <c r="H2" s="25" t="s">
        <v>3</v>
      </c>
      <c r="I2" s="26"/>
      <c r="K2" s="32" t="s">
        <v>48</v>
      </c>
      <c r="L2" s="33" t="s">
        <v>43</v>
      </c>
    </row>
    <row r="3" spans="2:16" ht="15.6" x14ac:dyDescent="0.3">
      <c r="B3" s="5" t="s">
        <v>5</v>
      </c>
      <c r="C3" s="6" t="s">
        <v>17</v>
      </c>
      <c r="D3" s="7">
        <v>2300</v>
      </c>
      <c r="E3" s="15">
        <f>IF(Table1[[#This Row],[Salary (USS)]]&gt;=5000,"Bonus",0)</f>
        <v>0</v>
      </c>
      <c r="F3" s="13" t="str">
        <f>IF(Table1[[#This Row],[Salary (USS)]]&gt;5000,"Incetive:1000","No Incetive:0")</f>
        <v>No Incetive:0</v>
      </c>
      <c r="G3" s="16" t="str">
        <f>IF(Table1[[#This Row],[Salary (USS)]]&gt;=5000,1000,"I Love You!")</f>
        <v>I Love You!</v>
      </c>
      <c r="H3" s="12" t="s">
        <v>2</v>
      </c>
      <c r="I3" s="12" t="s">
        <v>30</v>
      </c>
      <c r="K3" s="34">
        <f ca="1">RANDBETWEEN(10,100)</f>
        <v>65</v>
      </c>
      <c r="L3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Good</v>
      </c>
    </row>
    <row r="4" spans="2:16" ht="15.6" x14ac:dyDescent="0.3">
      <c r="B4" s="5" t="s">
        <v>6</v>
      </c>
      <c r="C4" s="6" t="s">
        <v>18</v>
      </c>
      <c r="D4" s="7">
        <v>4325</v>
      </c>
      <c r="E4" s="15">
        <f>IF(Table1[[#This Row],[Salary (USS)]]&gt;=5000,"Bonus",0)</f>
        <v>0</v>
      </c>
      <c r="F4" s="13" t="str">
        <f>IF(Table1[[#This Row],[Salary (USS)]]&gt;5000,"Incetive:1000","No Incetive:0")</f>
        <v>No Incetive:0</v>
      </c>
      <c r="G4" s="16" t="str">
        <f>IF(Table1[[#This Row],[Salary (USS)]]&gt;=5000,1000,"I Love You!")</f>
        <v>I Love You!</v>
      </c>
      <c r="H4" s="12">
        <v>5000</v>
      </c>
      <c r="I4" s="12">
        <v>1000</v>
      </c>
      <c r="K4" s="34">
        <f t="shared" ref="K4:K16" ca="1" si="0">RANDBETWEEN(10,100)</f>
        <v>37</v>
      </c>
      <c r="L4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Bad</v>
      </c>
    </row>
    <row r="5" spans="2:16" ht="15.6" x14ac:dyDescent="0.3">
      <c r="B5" s="5" t="s">
        <v>7</v>
      </c>
      <c r="C5" s="6" t="s">
        <v>19</v>
      </c>
      <c r="D5" s="7">
        <v>24454</v>
      </c>
      <c r="E5" s="15" t="str">
        <f>IF(Table1[[#This Row],[Salary (USS)]]&gt;=5000,"Bonus",0)</f>
        <v>Bonus</v>
      </c>
      <c r="F5" s="13" t="str">
        <f>IF(Table1[[#This Row],[Salary (USS)]]&gt;5000,"Incetive:1000","No Incetive:0")</f>
        <v>Incetive:1000</v>
      </c>
      <c r="G5" s="16">
        <f>IF(Table1[[#This Row],[Salary (USS)]]&gt;=5000,1000,"I Love You!")</f>
        <v>1000</v>
      </c>
      <c r="K5" s="34">
        <f t="shared" ca="1" si="0"/>
        <v>14</v>
      </c>
      <c r="L5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Fail</v>
      </c>
    </row>
    <row r="6" spans="2:16" ht="22.8" x14ac:dyDescent="0.3">
      <c r="B6" s="5" t="s">
        <v>8</v>
      </c>
      <c r="C6" s="6" t="s">
        <v>20</v>
      </c>
      <c r="D6" s="7">
        <v>23433</v>
      </c>
      <c r="E6" s="15" t="str">
        <f>IF(Table1[[#This Row],[Salary (USS)]]&gt;=5000,"Bonus",0)</f>
        <v>Bonus</v>
      </c>
      <c r="F6" s="13" t="str">
        <f>IF(Table1[[#This Row],[Salary (USS)]]&gt;5000,"Incetive:1000","No Incetive:0")</f>
        <v>Incetive:1000</v>
      </c>
      <c r="G6" s="16">
        <f>IF(Table1[[#This Row],[Salary (USS)]]&gt;=5000,1000,"I Love You!")</f>
        <v>1000</v>
      </c>
      <c r="I6" s="29" t="s">
        <v>49</v>
      </c>
      <c r="J6" s="30"/>
      <c r="K6" s="34">
        <f t="shared" ca="1" si="0"/>
        <v>24</v>
      </c>
      <c r="L6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Fail</v>
      </c>
    </row>
    <row r="7" spans="2:16" ht="15.6" x14ac:dyDescent="0.3">
      <c r="B7" s="5" t="s">
        <v>9</v>
      </c>
      <c r="C7" s="6" t="s">
        <v>21</v>
      </c>
      <c r="D7" s="7">
        <v>23455</v>
      </c>
      <c r="E7" s="15" t="str">
        <f>IF(Table1[[#This Row],[Salary (USS)]]&gt;=5000,"Bonus",0)</f>
        <v>Bonus</v>
      </c>
      <c r="F7" s="13" t="str">
        <f>IF(Table1[[#This Row],[Salary (USS)]]&gt;5000,"Incetive:1000","No Incetive:0")</f>
        <v>Incetive:1000</v>
      </c>
      <c r="G7" s="16">
        <f>IF(Table1[[#This Row],[Salary (USS)]]&gt;=5000,1000,"I Love You!")</f>
        <v>1000</v>
      </c>
      <c r="I7" s="28" t="s">
        <v>44</v>
      </c>
      <c r="J7" s="31" t="s">
        <v>51</v>
      </c>
      <c r="K7" s="34">
        <f t="shared" ca="1" si="0"/>
        <v>57</v>
      </c>
      <c r="L7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General</v>
      </c>
    </row>
    <row r="8" spans="2:16" ht="15.6" x14ac:dyDescent="0.3">
      <c r="B8" s="5" t="s">
        <v>10</v>
      </c>
      <c r="C8" s="6" t="s">
        <v>22</v>
      </c>
      <c r="D8" s="7">
        <v>2574</v>
      </c>
      <c r="E8" s="15">
        <f>IF(Table1[[#This Row],[Salary (USS)]]&gt;=5000,"Bonus",0)</f>
        <v>0</v>
      </c>
      <c r="F8" s="13" t="str">
        <f>IF(Table1[[#This Row],[Salary (USS)]]&gt;5000,"Incetive:1000","No Incetive:0")</f>
        <v>No Incetive:0</v>
      </c>
      <c r="G8" s="16" t="str">
        <f>IF(Table1[[#This Row],[Salary (USS)]]&gt;=5000,1000,"I Love You!")</f>
        <v>I Love You!</v>
      </c>
      <c r="I8" s="28" t="s">
        <v>45</v>
      </c>
      <c r="J8" s="31" t="s">
        <v>52</v>
      </c>
      <c r="K8" s="34">
        <f t="shared" ca="1" si="0"/>
        <v>75</v>
      </c>
      <c r="L8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Good</v>
      </c>
    </row>
    <row r="9" spans="2:16" ht="15.6" x14ac:dyDescent="0.3">
      <c r="B9" s="5" t="s">
        <v>11</v>
      </c>
      <c r="C9" s="6" t="s">
        <v>23</v>
      </c>
      <c r="D9" s="7">
        <v>4643</v>
      </c>
      <c r="E9" s="15">
        <f>IF(Table1[[#This Row],[Salary (USS)]]&gt;=5000,"Bonus",0)</f>
        <v>0</v>
      </c>
      <c r="F9" s="13" t="str">
        <f>IF(Table1[[#This Row],[Salary (USS)]]&gt;5000,"Incetive:1000","No Incetive:0")</f>
        <v>No Incetive:0</v>
      </c>
      <c r="G9" s="16" t="str">
        <f>IF(Table1[[#This Row],[Salary (USS)]]&gt;=5000,1000,"I Love You!")</f>
        <v>I Love You!</v>
      </c>
      <c r="I9" s="28" t="s">
        <v>46</v>
      </c>
      <c r="J9" s="31" t="s">
        <v>53</v>
      </c>
      <c r="K9" s="34">
        <f t="shared" ca="1" si="0"/>
        <v>83</v>
      </c>
      <c r="L9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Best</v>
      </c>
    </row>
    <row r="10" spans="2:16" ht="15.6" x14ac:dyDescent="0.3">
      <c r="B10" s="5" t="s">
        <v>12</v>
      </c>
      <c r="C10" s="6" t="s">
        <v>24</v>
      </c>
      <c r="D10" s="7">
        <v>533</v>
      </c>
      <c r="E10" s="15">
        <f>IF(Table1[[#This Row],[Salary (USS)]]&gt;=5000,"Bonus",0)</f>
        <v>0</v>
      </c>
      <c r="F10" s="13" t="str">
        <f>IF(Table1[[#This Row],[Salary (USS)]]&gt;5000,"Incetive:1000","No Incetive:0")</f>
        <v>No Incetive:0</v>
      </c>
      <c r="G10" s="16" t="str">
        <f>IF(Table1[[#This Row],[Salary (USS)]]&gt;=5000,1000,"I Love You!")</f>
        <v>I Love You!</v>
      </c>
      <c r="I10" s="28" t="s">
        <v>50</v>
      </c>
      <c r="J10" s="31" t="s">
        <v>54</v>
      </c>
      <c r="K10" s="34">
        <f t="shared" ca="1" si="0"/>
        <v>68</v>
      </c>
      <c r="L10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Good</v>
      </c>
    </row>
    <row r="11" spans="2:16" ht="15.6" x14ac:dyDescent="0.3">
      <c r="B11" s="5" t="s">
        <v>13</v>
      </c>
      <c r="C11" s="6" t="s">
        <v>25</v>
      </c>
      <c r="D11" s="7">
        <v>6345</v>
      </c>
      <c r="E11" s="15" t="str">
        <f>IF(Table1[[#This Row],[Salary (USS)]]&gt;=5000,"Bonus",0)</f>
        <v>Bonus</v>
      </c>
      <c r="F11" s="13" t="str">
        <f>IF(Table1[[#This Row],[Salary (USS)]]&gt;5000,"Incetive:1000","No Incetive:0")</f>
        <v>Incetive:1000</v>
      </c>
      <c r="G11" s="16">
        <f>IF(Table1[[#This Row],[Salary (USS)]]&gt;=5000,1000,"I Love You!")</f>
        <v>1000</v>
      </c>
      <c r="I11" s="28" t="s">
        <v>47</v>
      </c>
      <c r="J11" s="31" t="s">
        <v>55</v>
      </c>
      <c r="K11" s="34">
        <f t="shared" ca="1" si="0"/>
        <v>33</v>
      </c>
      <c r="L11" s="27" t="b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0</v>
      </c>
    </row>
    <row r="12" spans="2:16" ht="15.6" x14ac:dyDescent="0.3">
      <c r="B12" s="5" t="s">
        <v>14</v>
      </c>
      <c r="C12" s="6" t="s">
        <v>26</v>
      </c>
      <c r="D12" s="7">
        <v>2456</v>
      </c>
      <c r="E12" s="15">
        <f>IF(Table1[[#This Row],[Salary (USS)]]&gt;=5000,"Bonus",0)</f>
        <v>0</v>
      </c>
      <c r="F12" s="13" t="str">
        <f>IF(Table1[[#This Row],[Salary (USS)]]&gt;5000,"Incetive:1000","No Incetive:0")</f>
        <v>No Incetive:0</v>
      </c>
      <c r="G12" s="16" t="str">
        <f>IF(Table1[[#This Row],[Salary (USS)]]&gt;=5000,1000,"I Love You!")</f>
        <v>I Love You!</v>
      </c>
      <c r="K12" s="34">
        <f t="shared" ca="1" si="0"/>
        <v>49</v>
      </c>
      <c r="L12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General</v>
      </c>
    </row>
    <row r="13" spans="2:16" ht="15.6" x14ac:dyDescent="0.3">
      <c r="B13" s="5" t="s">
        <v>15</v>
      </c>
      <c r="C13" s="6" t="s">
        <v>27</v>
      </c>
      <c r="D13" s="7">
        <v>36743</v>
      </c>
      <c r="E13" s="15" t="str">
        <f>IF(Table1[[#This Row],[Salary (USS)]]&gt;=5000,"Bonus",0)</f>
        <v>Bonus</v>
      </c>
      <c r="F13" s="13" t="str">
        <f>IF(Table1[[#This Row],[Salary (USS)]]&gt;5000,"Incetive:1000","No Incetive:0")</f>
        <v>Incetive:1000</v>
      </c>
      <c r="G13" s="16">
        <f>IF(Table1[[#This Row],[Salary (USS)]]&gt;=5000,1000,"I Love You!")</f>
        <v>1000</v>
      </c>
      <c r="K13" s="34">
        <f t="shared" ca="1" si="0"/>
        <v>100</v>
      </c>
      <c r="L13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Best</v>
      </c>
    </row>
    <row r="14" spans="2:16" ht="15.6" x14ac:dyDescent="0.3">
      <c r="B14" s="8" t="s">
        <v>16</v>
      </c>
      <c r="C14" s="9" t="s">
        <v>28</v>
      </c>
      <c r="D14" s="10">
        <v>643</v>
      </c>
      <c r="E14" s="15">
        <f>IF(Table1[[#This Row],[Salary (USS)]]&gt;=5000,"Bonus",0)</f>
        <v>0</v>
      </c>
      <c r="F14" s="14" t="str">
        <f>IF(Table1[[#This Row],[Salary (USS)]]&gt;5000,"Incetive:1000","No Incetive:0")</f>
        <v>No Incetive:0</v>
      </c>
      <c r="G14" s="16" t="str">
        <f>IF(Table1[[#This Row],[Salary (USS)]]&gt;=5000,1000,"I Love You!")</f>
        <v>I Love You!</v>
      </c>
      <c r="K14" s="34">
        <f t="shared" ca="1" si="0"/>
        <v>52</v>
      </c>
      <c r="L14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General</v>
      </c>
    </row>
    <row r="15" spans="2:16" x14ac:dyDescent="0.3">
      <c r="K15" s="34">
        <f t="shared" ca="1" si="0"/>
        <v>67</v>
      </c>
      <c r="L15" s="27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Good</v>
      </c>
    </row>
    <row r="16" spans="2:16" x14ac:dyDescent="0.3">
      <c r="K16" s="35">
        <f t="shared" ca="1" si="0"/>
        <v>97</v>
      </c>
      <c r="L16" s="36" t="str">
        <f ca="1">IF(Table5[[#This Row],[Number]]&gt;80,"is Best",IF(Table5[[#This Row],[Number]]&gt;60,"is Good",IF(Table5[[#This Row],[Number]]&gt;40,"is General",IF(Table5[[#This Row],[Number]]&gt;33,"is Bad",IF(Table5[[#This Row],[Number]]&lt;33,"Fail")))))</f>
        <v>is Best</v>
      </c>
    </row>
    <row r="17" spans="2:7" ht="17.399999999999999" x14ac:dyDescent="0.3">
      <c r="B17" s="17" t="s">
        <v>34</v>
      </c>
      <c r="C17" s="18" t="s">
        <v>1</v>
      </c>
      <c r="D17" s="18" t="s">
        <v>35</v>
      </c>
      <c r="E17" s="19" t="s">
        <v>36</v>
      </c>
      <c r="F17" s="22" t="s">
        <v>37</v>
      </c>
      <c r="G17" s="11"/>
    </row>
    <row r="18" spans="2:7" ht="15.6" x14ac:dyDescent="0.3">
      <c r="B18" s="5" t="s">
        <v>5</v>
      </c>
      <c r="C18" s="6" t="s">
        <v>17</v>
      </c>
      <c r="D18" s="7">
        <v>2300</v>
      </c>
      <c r="E18" s="20" t="str">
        <f>IF(Table2[[#This Row],[Monthly Income]]&gt;5000,"Elite",IF(Table2[[#This Row],[Monthly Income]]&gt;4000,"Moderate",IF(Table2[[#This Row],[Monthly Income]]&lt;4000,"Middle")))</f>
        <v>Middle</v>
      </c>
      <c r="F18" s="24" t="s">
        <v>35</v>
      </c>
      <c r="G18" s="24" t="s">
        <v>36</v>
      </c>
    </row>
    <row r="19" spans="2:7" ht="15.6" x14ac:dyDescent="0.3">
      <c r="B19" s="5" t="s">
        <v>6</v>
      </c>
      <c r="C19" s="6" t="s">
        <v>18</v>
      </c>
      <c r="D19" s="7">
        <v>4325</v>
      </c>
      <c r="E19" s="20" t="str">
        <f>IF(Table2[[#This Row],[Monthly Income]]&gt;5000,"Elite",IF(Table2[[#This Row],[Monthly Income]]&gt;4000,"Moderate",IF(Table2[[#This Row],[Monthly Income]]&lt;4000,"Middle")))</f>
        <v>Moderate</v>
      </c>
      <c r="F19" s="23" t="s">
        <v>29</v>
      </c>
      <c r="G19" s="23" t="s">
        <v>38</v>
      </c>
    </row>
    <row r="20" spans="2:7" ht="15.6" x14ac:dyDescent="0.3">
      <c r="B20" s="5" t="s">
        <v>7</v>
      </c>
      <c r="C20" s="6" t="s">
        <v>19</v>
      </c>
      <c r="D20" s="7">
        <v>24454</v>
      </c>
      <c r="E20" s="20" t="str">
        <f>IF(Table2[[#This Row],[Monthly Income]]&gt;5000,"Elite",IF(Table2[[#This Row],[Monthly Income]]&gt;4000,"Moderate",IF(Table2[[#This Row],[Monthly Income]]&lt;4000,"Middle")))</f>
        <v>Elite</v>
      </c>
      <c r="F20" s="23" t="s">
        <v>39</v>
      </c>
      <c r="G20" s="23" t="s">
        <v>40</v>
      </c>
    </row>
    <row r="21" spans="2:7" ht="15.6" x14ac:dyDescent="0.3">
      <c r="B21" s="5" t="s">
        <v>8</v>
      </c>
      <c r="C21" s="6" t="s">
        <v>20</v>
      </c>
      <c r="D21" s="7">
        <v>23433</v>
      </c>
      <c r="E21" s="20" t="str">
        <f>IF(Table2[[#This Row],[Monthly Income]]&gt;5000,"Elite",IF(Table2[[#This Row],[Monthly Income]]&gt;4000,"Moderate",IF(Table2[[#This Row],[Monthly Income]]&lt;4000,"Middle")))</f>
        <v>Elite</v>
      </c>
      <c r="F21" s="23" t="s">
        <v>41</v>
      </c>
      <c r="G21" s="23" t="s">
        <v>42</v>
      </c>
    </row>
    <row r="22" spans="2:7" ht="15.6" x14ac:dyDescent="0.3">
      <c r="B22" s="5" t="s">
        <v>9</v>
      </c>
      <c r="C22" s="6" t="s">
        <v>21</v>
      </c>
      <c r="D22" s="7">
        <v>23455</v>
      </c>
      <c r="E22" s="20" t="str">
        <f>IF(Table2[[#This Row],[Monthly Income]]&gt;5000,"Elite",IF(Table2[[#This Row],[Monthly Income]]&gt;4000,"Moderate",IF(Table2[[#This Row],[Monthly Income]]&lt;4000,"Middle")))</f>
        <v>Elite</v>
      </c>
    </row>
    <row r="23" spans="2:7" ht="15.6" x14ac:dyDescent="0.3">
      <c r="B23" s="5" t="s">
        <v>10</v>
      </c>
      <c r="C23" s="6" t="s">
        <v>22</v>
      </c>
      <c r="D23" s="7">
        <v>2574</v>
      </c>
      <c r="E23" s="20" t="str">
        <f>IF(Table2[[#This Row],[Monthly Income]]&gt;5000,"Elite",IF(Table2[[#This Row],[Monthly Income]]&gt;4000,"Moderate",IF(Table2[[#This Row],[Monthly Income]]&lt;4000,"Middle")))</f>
        <v>Middle</v>
      </c>
    </row>
    <row r="24" spans="2:7" ht="15.6" x14ac:dyDescent="0.3">
      <c r="B24" s="5" t="s">
        <v>11</v>
      </c>
      <c r="C24" s="6" t="s">
        <v>23</v>
      </c>
      <c r="D24" s="7">
        <v>4643</v>
      </c>
      <c r="E24" s="20" t="str">
        <f>IF(Table2[[#This Row],[Monthly Income]]&gt;5000,"Elite",IF(Table2[[#This Row],[Monthly Income]]&gt;4000,"Moderate",IF(Table2[[#This Row],[Monthly Income]]&lt;4000,"Middle")))</f>
        <v>Moderate</v>
      </c>
    </row>
    <row r="25" spans="2:7" ht="15.6" x14ac:dyDescent="0.3">
      <c r="B25" s="5" t="s">
        <v>12</v>
      </c>
      <c r="C25" s="6" t="s">
        <v>24</v>
      </c>
      <c r="D25" s="7">
        <v>533</v>
      </c>
      <c r="E25" s="20" t="str">
        <f>IF(Table2[[#This Row],[Monthly Income]]&gt;5000,"Elite",IF(Table2[[#This Row],[Monthly Income]]&gt;4000,"Moderate",IF(Table2[[#This Row],[Monthly Income]]&lt;4000,"Middle")))</f>
        <v>Middle</v>
      </c>
    </row>
    <row r="26" spans="2:7" ht="15.6" x14ac:dyDescent="0.3">
      <c r="B26" s="5" t="s">
        <v>13</v>
      </c>
      <c r="C26" s="6" t="s">
        <v>25</v>
      </c>
      <c r="D26" s="7">
        <v>6345</v>
      </c>
      <c r="E26" s="20" t="str">
        <f>IF(Table2[[#This Row],[Monthly Income]]&gt;5000,"Elite",IF(Table2[[#This Row],[Monthly Income]]&gt;4000,"Moderate",IF(Table2[[#This Row],[Monthly Income]]&lt;4000,"Middle")))</f>
        <v>Elite</v>
      </c>
    </row>
    <row r="27" spans="2:7" ht="15.6" x14ac:dyDescent="0.3">
      <c r="B27" s="5" t="s">
        <v>14</v>
      </c>
      <c r="C27" s="6" t="s">
        <v>26</v>
      </c>
      <c r="D27" s="7">
        <v>2456</v>
      </c>
      <c r="E27" s="20" t="str">
        <f>IF(Table2[[#This Row],[Monthly Income]]&gt;5000,"Elite",IF(Table2[[#This Row],[Monthly Income]]&gt;4000,"Moderate",IF(Table2[[#This Row],[Monthly Income]]&lt;4000,"Middle")))</f>
        <v>Middle</v>
      </c>
    </row>
    <row r="28" spans="2:7" ht="15.6" x14ac:dyDescent="0.3">
      <c r="B28" s="5" t="s">
        <v>15</v>
      </c>
      <c r="C28" s="6" t="s">
        <v>27</v>
      </c>
      <c r="D28" s="7">
        <v>36743</v>
      </c>
      <c r="E28" s="20" t="str">
        <f>IF(Table2[[#This Row],[Monthly Income]]&gt;5000,"Elite",IF(Table2[[#This Row],[Monthly Income]]&gt;4000,"Moderate",IF(Table2[[#This Row],[Monthly Income]]&lt;4000,"Middle")))</f>
        <v>Elite</v>
      </c>
    </row>
    <row r="29" spans="2:7" ht="15.6" x14ac:dyDescent="0.3">
      <c r="B29" s="8" t="s">
        <v>16</v>
      </c>
      <c r="C29" s="9" t="s">
        <v>28</v>
      </c>
      <c r="D29" s="10">
        <v>643</v>
      </c>
      <c r="E29" s="21" t="str">
        <f>IF(Table2[[#This Row],[Monthly Income]]&gt;5000,"Elite",IF(Table2[[#This Row],[Monthly Income]]&gt;4000,"Moderate",IF(Table2[[#This Row],[Monthly Income]]&lt;4000,"Middle")))</f>
        <v>Middle</v>
      </c>
    </row>
  </sheetData>
  <mergeCells count="2">
    <mergeCell ref="H2:I2"/>
    <mergeCell ref="I6:J6"/>
  </mergeCells>
  <conditionalFormatting sqref="F3:F14">
    <cfRule type="containsText" dxfId="6" priority="5" operator="containsText" text="No">
      <formula>NOT(ISERROR(SEARCH("No",F3)))</formula>
    </cfRule>
    <cfRule type="containsText" dxfId="5" priority="6" operator="containsText" text="No">
      <formula>NOT(ISERROR(SEARCH("No",F3)))</formula>
    </cfRule>
    <cfRule type="containsText" dxfId="4" priority="7" operator="containsText" text="Incetive:1000">
      <formula>NOT(ISERROR(SEARCH("Incetive:1000",F3)))</formula>
    </cfRule>
  </conditionalFormatting>
  <conditionalFormatting sqref="G3:G14">
    <cfRule type="cellIs" dxfId="3" priority="3" operator="equal">
      <formula>1000</formula>
    </cfRule>
    <cfRule type="containsText" dxfId="2" priority="4" operator="containsText" text="I Love You!">
      <formula>NOT(ISERROR(SEARCH("I Love You!",G3)))</formula>
    </cfRule>
  </conditionalFormatting>
  <conditionalFormatting sqref="E18:E29">
    <cfRule type="containsText" dxfId="1" priority="1" operator="containsText" text="Elite">
      <formula>NOT(ISERROR(SEARCH("Elite",E18)))</formula>
    </cfRule>
    <cfRule type="containsText" dxfId="0" priority="2" operator="containsText" text="Elite">
      <formula>NOT(ISERROR(SEARCH("Elite",E18)))</formula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2025-11-01T05:22:23Z</dcterms:created>
  <dcterms:modified xsi:type="dcterms:W3CDTF">2025-11-01T07:35:59Z</dcterms:modified>
</cp:coreProperties>
</file>