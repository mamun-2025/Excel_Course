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24" windowWidth="22980" windowHeight="8760" activeTab="2"/>
  </bookViews>
  <sheets>
    <sheet name="INDEX" sheetId="1" r:id="rId1"/>
    <sheet name="MATCH" sheetId="2" r:id="rId2"/>
    <sheet name="INDEX &amp; MATCH 1" sheetId="3" r:id="rId3"/>
  </sheets>
  <definedNames>
    <definedName name="_xlnm._FilterDatabase" localSheetId="0" hidden="1">INDEX!$B$2:$F$21</definedName>
    <definedName name="Data">Table1[]</definedName>
  </definedNames>
  <calcPr calcId="144525"/>
</workbook>
</file>

<file path=xl/calcChain.xml><?xml version="1.0" encoding="utf-8"?>
<calcChain xmlns="http://schemas.openxmlformats.org/spreadsheetml/2006/main">
  <c r="H4" i="1" l="1"/>
  <c r="H3" i="1"/>
  <c r="D9" i="3"/>
  <c r="C9" i="3"/>
  <c r="E8" i="3" l="1"/>
  <c r="H18" i="2"/>
  <c r="E18" i="2"/>
  <c r="H5" i="1"/>
  <c r="H8" i="1"/>
  <c r="H7" i="1"/>
</calcChain>
</file>

<file path=xl/sharedStrings.xml><?xml version="1.0" encoding="utf-8"?>
<sst xmlns="http://schemas.openxmlformats.org/spreadsheetml/2006/main" count="165" uniqueCount="126">
  <si>
    <t>Agent Name</t>
  </si>
  <si>
    <t>Area</t>
  </si>
  <si>
    <t>Sales Agent Name</t>
  </si>
  <si>
    <t>Sales Agent number</t>
  </si>
  <si>
    <t>Sales</t>
  </si>
  <si>
    <t>Razzak Telecom</t>
  </si>
  <si>
    <t>Sarafat Communication</t>
  </si>
  <si>
    <t>Mohisin Telecom &amp; Bostralo</t>
  </si>
  <si>
    <t>Tarikul Electronics</t>
  </si>
  <si>
    <t>Auto house &amp; Telecom</t>
  </si>
  <si>
    <t>Rasel Telecom</t>
  </si>
  <si>
    <t>Alif Store</t>
  </si>
  <si>
    <t>Vai Vai Store</t>
  </si>
  <si>
    <t>Bristy Store</t>
  </si>
  <si>
    <t>Abdullah Trades</t>
  </si>
  <si>
    <t>Ripon Store</t>
  </si>
  <si>
    <t>Rinky Store</t>
  </si>
  <si>
    <t>Shoriful Telecom</t>
  </si>
  <si>
    <t>Rahat Telecomunication</t>
  </si>
  <si>
    <t>Shuvo Bikash Point</t>
  </si>
  <si>
    <t>Kustia</t>
  </si>
  <si>
    <t>Meherpur</t>
  </si>
  <si>
    <t>Gazipur</t>
  </si>
  <si>
    <t>Khulna</t>
  </si>
  <si>
    <t>Madaripur</t>
  </si>
  <si>
    <t>Khab Welding Machiners</t>
  </si>
  <si>
    <t>Milon  comuputer</t>
  </si>
  <si>
    <t>Nazmul Multimedia</t>
  </si>
  <si>
    <t>Amena Medical Hall</t>
  </si>
  <si>
    <t>Voice Vision</t>
  </si>
  <si>
    <t>Akota Enterprice</t>
  </si>
  <si>
    <t>Polash Electric</t>
  </si>
  <si>
    <t>Manab Unnayan Kendro</t>
  </si>
  <si>
    <t>M/S Traders</t>
  </si>
  <si>
    <t>Royal Watch &amp; Telecom</t>
  </si>
  <si>
    <t xml:space="preserve"> Index without Reference</t>
  </si>
  <si>
    <t>Index with Reference</t>
  </si>
  <si>
    <t>Customer</t>
  </si>
  <si>
    <t>Category</t>
  </si>
  <si>
    <t>Model</t>
  </si>
  <si>
    <t>Color</t>
  </si>
  <si>
    <t>Sales Date</t>
  </si>
  <si>
    <t>Order Qty</t>
  </si>
  <si>
    <t>Wire Baskets</t>
  </si>
  <si>
    <t>Caps</t>
  </si>
  <si>
    <t>Cycling Cap</t>
  </si>
  <si>
    <t>Multi</t>
  </si>
  <si>
    <t>Original Bicyle</t>
  </si>
  <si>
    <t>Mountain Frames</t>
  </si>
  <si>
    <t>ML Mountain Frame</t>
  </si>
  <si>
    <t>Silver</t>
  </si>
  <si>
    <t xml:space="preserve">Adv anced Bike Components </t>
  </si>
  <si>
    <t>Better Bike Shop</t>
  </si>
  <si>
    <t>Designated Distributors</t>
  </si>
  <si>
    <t>Scooters and Bikes Store</t>
  </si>
  <si>
    <t>Excellent Riding supplies</t>
  </si>
  <si>
    <t>Afforadable Sports Equipment</t>
  </si>
  <si>
    <t>Original Bicyle Supply Company</t>
  </si>
  <si>
    <t>eccommerce Bikes</t>
  </si>
  <si>
    <t>Retail Mall</t>
  </si>
  <si>
    <t>Professional  Cyclests</t>
  </si>
  <si>
    <t>Road Frames</t>
  </si>
  <si>
    <t>Socks</t>
  </si>
  <si>
    <t>Road Bikes</t>
  </si>
  <si>
    <t>Helmets</t>
  </si>
  <si>
    <t>Clothing</t>
  </si>
  <si>
    <t>Bikes</t>
  </si>
  <si>
    <t>Componets</t>
  </si>
  <si>
    <t>Sports</t>
  </si>
  <si>
    <t>General</t>
  </si>
  <si>
    <t>Retail Scape</t>
  </si>
  <si>
    <t>LL Road  Frame</t>
  </si>
  <si>
    <t>Mountain Bike Socks</t>
  </si>
  <si>
    <t>Sport-100</t>
  </si>
  <si>
    <t>RTR</t>
  </si>
  <si>
    <t>V3</t>
  </si>
  <si>
    <t xml:space="preserve">Road Bikes </t>
  </si>
  <si>
    <t>F22</t>
  </si>
  <si>
    <t>Honda</t>
  </si>
  <si>
    <t>Jerseys</t>
  </si>
  <si>
    <t>Black</t>
  </si>
  <si>
    <t>White</t>
  </si>
  <si>
    <t>Green</t>
  </si>
  <si>
    <t>Magenda</t>
  </si>
  <si>
    <t>Ash</t>
  </si>
  <si>
    <t>Blue</t>
  </si>
  <si>
    <t>Mate</t>
  </si>
  <si>
    <t>White Ass</t>
  </si>
  <si>
    <t>Red Black</t>
  </si>
  <si>
    <t>Gold</t>
  </si>
  <si>
    <t>Thursday, November 02, 2020</t>
  </si>
  <si>
    <t>Raw Number</t>
  </si>
  <si>
    <t>Column Number</t>
  </si>
  <si>
    <t>Mead Name</t>
  </si>
  <si>
    <t>Tax Rate</t>
  </si>
  <si>
    <t>Max Income</t>
  </si>
  <si>
    <t>From</t>
  </si>
  <si>
    <t>To</t>
  </si>
  <si>
    <t xml:space="preserve">Name </t>
  </si>
  <si>
    <t>Apple</t>
  </si>
  <si>
    <t>Banana</t>
  </si>
  <si>
    <t>Cherry</t>
  </si>
  <si>
    <t>Cocunut</t>
  </si>
  <si>
    <t>Jack Fruit</t>
  </si>
  <si>
    <t>Mango</t>
  </si>
  <si>
    <t>Grape</t>
  </si>
  <si>
    <t>Papaya</t>
  </si>
  <si>
    <t>Pineapple</t>
  </si>
  <si>
    <t>Watermelon</t>
  </si>
  <si>
    <t>Lychee</t>
  </si>
  <si>
    <t>Guava</t>
  </si>
  <si>
    <t>Mamun</t>
  </si>
  <si>
    <t>Habib</t>
  </si>
  <si>
    <t>Mizanur</t>
  </si>
  <si>
    <t>Rasel</t>
  </si>
  <si>
    <t>Roy</t>
  </si>
  <si>
    <t>Shakil</t>
  </si>
  <si>
    <t>Rohan</t>
  </si>
  <si>
    <t>Sanjib</t>
  </si>
  <si>
    <t>Niloy</t>
  </si>
  <si>
    <t>Ridoy</t>
  </si>
  <si>
    <t>Rajib</t>
  </si>
  <si>
    <t>Utsho</t>
  </si>
  <si>
    <t>Asad</t>
  </si>
  <si>
    <t>Sohel</t>
  </si>
  <si>
    <t>Fixed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</si>
</sst>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\-000\-000"/>
    <numFmt numFmtId="165" formatCode="[$-F800]dddd\,\ mmmm\ dd\,\ yyyy"/>
  </numFmts>
  <fonts count="1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0"/>
      <name val="Times New Roman"/>
      <family val="1"/>
    </font>
    <font>
      <sz val="14"/>
      <color theme="0"/>
      <name val="Times New Roman"/>
      <family val="1"/>
    </font>
    <font>
      <sz val="18"/>
      <color rgb="FFFFFF00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ime"/>
      <charset val="1"/>
    </font>
    <font>
      <b/>
      <sz val="14"/>
      <color theme="0"/>
      <name val="Calibriime"/>
      <charset val="1"/>
    </font>
    <font>
      <sz val="11"/>
      <color theme="0"/>
      <name val="Calibri"/>
      <family val="2"/>
      <charset val="1"/>
      <scheme val="minor"/>
    </font>
    <font>
      <b/>
      <sz val="11"/>
      <color theme="0"/>
      <name val="Times New Roman"/>
      <family val="1"/>
    </font>
    <font>
      <b/>
      <sz val="12"/>
      <color theme="0"/>
      <name val="Times New Roman"/>
      <family val="1"/>
    </font>
    <font>
      <b/>
      <sz val="28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64" fontId="7" fillId="8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1" fillId="0" borderId="0" xfId="1" applyNumberFormat="1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7"/>
    </xf>
    <xf numFmtId="0" fontId="0" fillId="0" borderId="0" xfId="0" applyBorder="1"/>
    <xf numFmtId="0" fontId="0" fillId="0" borderId="0" xfId="0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3" fillId="0" borderId="0" xfId="0" applyFont="1"/>
    <xf numFmtId="0" fontId="15" fillId="10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4"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ime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ime"/>
        <scheme val="none"/>
      </font>
      <numFmt numFmtId="165" formatCode="[$-F800]dddd\,\ mmmm\ dd\,\ 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ime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ime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ime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ime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ime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ime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theme="0"/>
        <name val="Times New Roman"/>
        <scheme val="none"/>
      </font>
      <numFmt numFmtId="164" formatCode="00000\-000\-0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theme="0"/>
        <name val="Times New Roman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8"/>
        <color rgb="FFFFFF00"/>
        <name val="Times New Roman"/>
        <scheme val="none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2:F21" totalsRowShown="0" headerRowDxfId="33" dataDxfId="32">
  <autoFilter ref="B2:F21"/>
  <tableColumns count="5">
    <tableColumn id="1" name="Agent Name" dataDxfId="31"/>
    <tableColumn id="2" name="Area" dataDxfId="30"/>
    <tableColumn id="3" name="Sales Agent Name" dataDxfId="29"/>
    <tableColumn id="4" name="Sales Agent number" dataDxfId="28"/>
    <tableColumn id="5" name="Sales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D2:I15" totalsRowShown="0" headerRowDxfId="26" dataDxfId="25">
  <autoFilter ref="D2:I15"/>
  <tableColumns count="6">
    <tableColumn id="1" name="Customer" dataDxfId="24"/>
    <tableColumn id="2" name="Category" dataDxfId="23"/>
    <tableColumn id="3" name="Model" dataDxfId="22"/>
    <tableColumn id="4" name="Color" dataDxfId="21"/>
    <tableColumn id="5" name="Sales Date" dataDxfId="20" dataCellStyle="Percent"/>
    <tableColumn id="6" name="Order Qty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G7:S21" totalsRowShown="0" headerRowDxfId="17" dataDxfId="15" headerRowBorderDxfId="16" tableBorderDxfId="14" totalsRowBorderDxfId="13">
  <autoFilter ref="G7:S21"/>
  <tableColumns count="13">
    <tableColumn id="1" name="Name " dataDxfId="12"/>
    <tableColumn id="2" name="Apple" dataDxfId="11"/>
    <tableColumn id="3" name="Banana" dataDxfId="10"/>
    <tableColumn id="4" name="Cherry" dataDxfId="9"/>
    <tableColumn id="5" name="Cocunut" dataDxfId="8"/>
    <tableColumn id="6" name="Jack Fruit" dataDxfId="7"/>
    <tableColumn id="7" name="Mango" dataDxfId="6"/>
    <tableColumn id="8" name="Grape" dataDxfId="5"/>
    <tableColumn id="9" name="Papaya" dataDxfId="4"/>
    <tableColumn id="10" name="Pineapple" dataDxfId="3"/>
    <tableColumn id="11" name="Watermelon" dataDxfId="2"/>
    <tableColumn id="12" name="Lychee" dataDxfId="1"/>
    <tableColumn id="13" name="Guava" dataDxfId="0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B1:H21"/>
  <sheetViews>
    <sheetView topLeftCell="A2" workbookViewId="0">
      <selection activeCell="I4" sqref="I4"/>
    </sheetView>
  </sheetViews>
  <sheetFormatPr defaultRowHeight="14.4"/>
  <cols>
    <col min="2" max="2" width="33.21875" customWidth="1"/>
    <col min="3" max="3" width="14" customWidth="1"/>
    <col min="4" max="4" width="31.33203125" customWidth="1"/>
    <col min="5" max="5" width="32.77734375" customWidth="1"/>
    <col min="6" max="6" width="15.6640625" customWidth="1"/>
    <col min="8" max="8" width="29.88671875" customWidth="1"/>
  </cols>
  <sheetData>
    <row r="1" spans="2:8" ht="51" customHeight="1"/>
    <row r="2" spans="2:8" ht="22.8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6" t="s">
        <v>35</v>
      </c>
    </row>
    <row r="3" spans="2:8" ht="18">
      <c r="B3" s="3" t="s">
        <v>5</v>
      </c>
      <c r="C3" s="3" t="s">
        <v>20</v>
      </c>
      <c r="D3" s="3" t="s">
        <v>29</v>
      </c>
      <c r="E3" s="4">
        <v>1964766244</v>
      </c>
      <c r="F3" s="3">
        <v>14259</v>
      </c>
      <c r="H3" s="1" t="str">
        <f>INDEX(Table1[],2,2)</f>
        <v>Kustia</v>
      </c>
    </row>
    <row r="4" spans="2:8" ht="18">
      <c r="B4" s="3" t="s">
        <v>6</v>
      </c>
      <c r="C4" s="3" t="s">
        <v>20</v>
      </c>
      <c r="D4" s="3" t="s">
        <v>30</v>
      </c>
      <c r="E4" s="4">
        <v>1964766245</v>
      </c>
      <c r="F4" s="3">
        <v>32456</v>
      </c>
      <c r="H4" s="1">
        <f>INDEX(Table1[Sales],4)</f>
        <v>3332</v>
      </c>
    </row>
    <row r="5" spans="2:8" ht="18">
      <c r="B5" s="3" t="s">
        <v>7</v>
      </c>
      <c r="C5" s="3" t="s">
        <v>21</v>
      </c>
      <c r="D5" s="3" t="s">
        <v>31</v>
      </c>
      <c r="E5" s="4">
        <v>1964766246</v>
      </c>
      <c r="F5" s="3">
        <v>43654</v>
      </c>
      <c r="H5" s="1" t="str">
        <f>INDEX(Table1[[Agent Name]:[Sales Agent Name]],8,3)</f>
        <v>Voice Vision</v>
      </c>
    </row>
    <row r="6" spans="2:8" ht="18">
      <c r="B6" s="3" t="s">
        <v>8</v>
      </c>
      <c r="C6" s="3" t="s">
        <v>22</v>
      </c>
      <c r="D6" s="3" t="s">
        <v>32</v>
      </c>
      <c r="E6" s="4">
        <v>1964766247</v>
      </c>
      <c r="F6" s="3">
        <v>3332</v>
      </c>
      <c r="H6" s="5" t="s">
        <v>36</v>
      </c>
    </row>
    <row r="7" spans="2:8" ht="18">
      <c r="B7" s="3" t="s">
        <v>9</v>
      </c>
      <c r="C7" s="3" t="s">
        <v>23</v>
      </c>
      <c r="D7" s="3" t="s">
        <v>32</v>
      </c>
      <c r="E7" s="4">
        <v>1964766248</v>
      </c>
      <c r="F7" s="3">
        <v>23444</v>
      </c>
      <c r="H7" s="7" t="str">
        <f>INDEX((B3:F7,B9:F14,B16:F21),2,1,2)</f>
        <v>Vai Vai Store</v>
      </c>
    </row>
    <row r="8" spans="2:8" ht="18">
      <c r="B8" s="3" t="s">
        <v>10</v>
      </c>
      <c r="C8" s="3" t="s">
        <v>24</v>
      </c>
      <c r="D8" s="3" t="s">
        <v>29</v>
      </c>
      <c r="E8" s="4">
        <v>1964766249</v>
      </c>
      <c r="F8" s="3">
        <v>24564</v>
      </c>
      <c r="H8" s="7">
        <f>INDEX((B3:F10,B12:F21),3,4,2)</f>
        <v>1964766255</v>
      </c>
    </row>
    <row r="9" spans="2:8" ht="18">
      <c r="B9" s="3" t="s">
        <v>11</v>
      </c>
      <c r="C9" s="3" t="s">
        <v>24</v>
      </c>
      <c r="D9" s="3" t="s">
        <v>33</v>
      </c>
      <c r="E9" s="4">
        <v>1964766250</v>
      </c>
      <c r="F9" s="3">
        <v>86755</v>
      </c>
    </row>
    <row r="10" spans="2:8" ht="18">
      <c r="B10" s="3" t="s">
        <v>12</v>
      </c>
      <c r="C10" s="3" t="s">
        <v>22</v>
      </c>
      <c r="D10" s="3" t="s">
        <v>29</v>
      </c>
      <c r="E10" s="4">
        <v>1964766251</v>
      </c>
      <c r="F10" s="3">
        <v>36757</v>
      </c>
    </row>
    <row r="11" spans="2:8" ht="18">
      <c r="B11" s="3" t="s">
        <v>13</v>
      </c>
      <c r="C11" s="3" t="s">
        <v>20</v>
      </c>
      <c r="D11" s="3" t="s">
        <v>30</v>
      </c>
      <c r="E11" s="4">
        <v>1964766252</v>
      </c>
      <c r="F11" s="3">
        <v>97687</v>
      </c>
    </row>
    <row r="12" spans="2:8" ht="18">
      <c r="B12" s="3" t="s">
        <v>14</v>
      </c>
      <c r="C12" s="3" t="s">
        <v>21</v>
      </c>
      <c r="D12" s="3" t="s">
        <v>30</v>
      </c>
      <c r="E12" s="4">
        <v>1964766253</v>
      </c>
      <c r="F12" s="3">
        <v>3467</v>
      </c>
    </row>
    <row r="13" spans="2:8" ht="18">
      <c r="B13" s="3" t="s">
        <v>15</v>
      </c>
      <c r="C13" s="3" t="s">
        <v>21</v>
      </c>
      <c r="D13" s="3" t="s">
        <v>30</v>
      </c>
      <c r="E13" s="4">
        <v>1964766254</v>
      </c>
      <c r="F13" s="3">
        <v>346788</v>
      </c>
    </row>
    <row r="14" spans="2:8" ht="18">
      <c r="B14" s="3" t="s">
        <v>16</v>
      </c>
      <c r="C14" s="3" t="s">
        <v>24</v>
      </c>
      <c r="D14" s="3" t="s">
        <v>32</v>
      </c>
      <c r="E14" s="4">
        <v>1964766255</v>
      </c>
      <c r="F14" s="3">
        <v>57765</v>
      </c>
    </row>
    <row r="15" spans="2:8" ht="18">
      <c r="B15" s="3" t="s">
        <v>17</v>
      </c>
      <c r="C15" s="3" t="s">
        <v>24</v>
      </c>
      <c r="D15" s="3" t="s">
        <v>34</v>
      </c>
      <c r="E15" s="4">
        <v>1964766256</v>
      </c>
      <c r="F15" s="3">
        <v>4676</v>
      </c>
    </row>
    <row r="16" spans="2:8" ht="18">
      <c r="B16" s="3" t="s">
        <v>18</v>
      </c>
      <c r="C16" s="3" t="s">
        <v>20</v>
      </c>
      <c r="D16" s="3" t="s">
        <v>34</v>
      </c>
      <c r="E16" s="4">
        <v>1964766257</v>
      </c>
      <c r="F16" s="3">
        <v>35777</v>
      </c>
    </row>
    <row r="17" spans="2:6" ht="18">
      <c r="B17" s="3" t="s">
        <v>19</v>
      </c>
      <c r="C17" s="3" t="s">
        <v>23</v>
      </c>
      <c r="D17" s="3" t="s">
        <v>33</v>
      </c>
      <c r="E17" s="4">
        <v>1964766258</v>
      </c>
      <c r="F17" s="3">
        <v>34566</v>
      </c>
    </row>
    <row r="18" spans="2:6" ht="18">
      <c r="B18" s="3" t="s">
        <v>25</v>
      </c>
      <c r="C18" s="3" t="s">
        <v>23</v>
      </c>
      <c r="D18" s="3" t="s">
        <v>33</v>
      </c>
      <c r="E18" s="4">
        <v>1964766259</v>
      </c>
      <c r="F18" s="3">
        <v>322</v>
      </c>
    </row>
    <row r="19" spans="2:6" ht="18">
      <c r="B19" s="3" t="s">
        <v>26</v>
      </c>
      <c r="C19" s="3" t="s">
        <v>24</v>
      </c>
      <c r="D19" s="3" t="s">
        <v>29</v>
      </c>
      <c r="E19" s="4">
        <v>1964766260</v>
      </c>
      <c r="F19" s="3">
        <v>4566</v>
      </c>
    </row>
    <row r="20" spans="2:6" ht="18">
      <c r="B20" s="3" t="s">
        <v>27</v>
      </c>
      <c r="C20" s="3" t="s">
        <v>20</v>
      </c>
      <c r="D20" s="3" t="s">
        <v>32</v>
      </c>
      <c r="E20" s="4">
        <v>1964766261</v>
      </c>
      <c r="F20" s="3">
        <v>2356</v>
      </c>
    </row>
    <row r="21" spans="2:6" ht="18">
      <c r="B21" s="3" t="s">
        <v>28</v>
      </c>
      <c r="C21" s="3" t="s">
        <v>22</v>
      </c>
      <c r="D21" s="3" t="s">
        <v>34</v>
      </c>
      <c r="E21" s="4">
        <v>1964766262</v>
      </c>
      <c r="F21" s="3">
        <v>3578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FF00"/>
  </sheetPr>
  <dimension ref="A1:I28"/>
  <sheetViews>
    <sheetView workbookViewId="0">
      <selection activeCell="B16" sqref="B16"/>
    </sheetView>
  </sheetViews>
  <sheetFormatPr defaultRowHeight="14.4"/>
  <cols>
    <col min="2" max="2" width="24.21875" customWidth="1"/>
    <col min="3" max="3" width="18.44140625" customWidth="1"/>
    <col min="4" max="4" width="46.6640625" customWidth="1"/>
    <col min="5" max="5" width="20.44140625" customWidth="1"/>
    <col min="6" max="6" width="21.77734375" customWidth="1"/>
    <col min="7" max="7" width="18.88671875" customWidth="1"/>
    <col min="8" max="8" width="31.44140625" customWidth="1"/>
    <col min="9" max="9" width="16.21875" customWidth="1"/>
  </cols>
  <sheetData>
    <row r="1" spans="3:9" ht="25.2" customHeight="1">
      <c r="C1" s="12" t="s">
        <v>92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</row>
    <row r="2" spans="3:9" ht="17.399999999999999">
      <c r="C2" s="13" t="s">
        <v>91</v>
      </c>
      <c r="D2" s="8" t="s">
        <v>37</v>
      </c>
      <c r="E2" s="8" t="s">
        <v>38</v>
      </c>
      <c r="F2" s="8" t="s">
        <v>39</v>
      </c>
      <c r="G2" s="8" t="s">
        <v>40</v>
      </c>
      <c r="H2" s="8" t="s">
        <v>41</v>
      </c>
      <c r="I2" s="8" t="s">
        <v>42</v>
      </c>
    </row>
    <row r="3" spans="3:9" ht="17.399999999999999">
      <c r="C3" s="13">
        <v>1</v>
      </c>
      <c r="D3" s="8" t="s">
        <v>43</v>
      </c>
      <c r="E3" s="8" t="s">
        <v>44</v>
      </c>
      <c r="F3" s="8" t="s">
        <v>45</v>
      </c>
      <c r="G3" s="8" t="s">
        <v>46</v>
      </c>
      <c r="H3" s="9">
        <v>43888</v>
      </c>
      <c r="I3" s="8">
        <v>137</v>
      </c>
    </row>
    <row r="4" spans="3:9" ht="17.399999999999999">
      <c r="C4" s="13">
        <v>2</v>
      </c>
      <c r="D4" s="8" t="s">
        <v>47</v>
      </c>
      <c r="E4" s="8" t="s">
        <v>48</v>
      </c>
      <c r="F4" s="8" t="s">
        <v>49</v>
      </c>
      <c r="G4" s="8" t="s">
        <v>88</v>
      </c>
      <c r="H4" s="9">
        <v>43907</v>
      </c>
      <c r="I4" s="8">
        <v>127</v>
      </c>
    </row>
    <row r="5" spans="3:9" ht="17.399999999999999">
      <c r="C5" s="13">
        <v>3</v>
      </c>
      <c r="D5" s="8" t="s">
        <v>51</v>
      </c>
      <c r="E5" s="8" t="s">
        <v>61</v>
      </c>
      <c r="F5" s="8" t="s">
        <v>71</v>
      </c>
      <c r="G5" s="8" t="s">
        <v>80</v>
      </c>
      <c r="H5" s="9">
        <v>43943</v>
      </c>
      <c r="I5" s="8">
        <v>151</v>
      </c>
    </row>
    <row r="6" spans="3:9" ht="17.399999999999999">
      <c r="C6" s="13">
        <v>4</v>
      </c>
      <c r="D6" s="8" t="s">
        <v>52</v>
      </c>
      <c r="E6" s="8" t="s">
        <v>62</v>
      </c>
      <c r="F6" s="8" t="s">
        <v>72</v>
      </c>
      <c r="G6" s="8" t="s">
        <v>81</v>
      </c>
      <c r="H6" s="9">
        <v>43995</v>
      </c>
      <c r="I6" s="8">
        <v>163</v>
      </c>
    </row>
    <row r="7" spans="3:9" ht="17.399999999999999">
      <c r="C7" s="13">
        <v>5</v>
      </c>
      <c r="D7" s="8" t="s">
        <v>53</v>
      </c>
      <c r="E7" s="8" t="s">
        <v>63</v>
      </c>
      <c r="F7" s="8" t="s">
        <v>77</v>
      </c>
      <c r="G7" s="8" t="s">
        <v>82</v>
      </c>
      <c r="H7" s="9">
        <v>44034</v>
      </c>
      <c r="I7" s="8">
        <v>101</v>
      </c>
    </row>
    <row r="8" spans="3:9" ht="17.399999999999999">
      <c r="C8" s="13">
        <v>6</v>
      </c>
      <c r="D8" s="8" t="s">
        <v>54</v>
      </c>
      <c r="E8" s="8" t="s">
        <v>64</v>
      </c>
      <c r="F8" s="8" t="s">
        <v>73</v>
      </c>
      <c r="G8" s="8" t="s">
        <v>83</v>
      </c>
      <c r="H8" s="9" t="s">
        <v>90</v>
      </c>
      <c r="I8" s="8">
        <v>117</v>
      </c>
    </row>
    <row r="9" spans="3:9" ht="17.399999999999999">
      <c r="C9" s="13">
        <v>7</v>
      </c>
      <c r="D9" s="8" t="s">
        <v>55</v>
      </c>
      <c r="E9" s="8" t="s">
        <v>65</v>
      </c>
      <c r="F9" s="8" t="s">
        <v>74</v>
      </c>
      <c r="G9" s="8" t="s">
        <v>81</v>
      </c>
      <c r="H9" s="9">
        <v>44091</v>
      </c>
      <c r="I9" s="8">
        <v>111</v>
      </c>
    </row>
    <row r="10" spans="3:9" ht="17.399999999999999">
      <c r="C10" s="13">
        <v>8</v>
      </c>
      <c r="D10" s="8" t="s">
        <v>56</v>
      </c>
      <c r="E10" s="8" t="s">
        <v>66</v>
      </c>
      <c r="F10" s="8" t="s">
        <v>75</v>
      </c>
      <c r="G10" s="8" t="s">
        <v>84</v>
      </c>
      <c r="H10" s="9">
        <v>44034</v>
      </c>
      <c r="I10" s="8">
        <v>136</v>
      </c>
    </row>
    <row r="11" spans="3:9" ht="17.399999999999999">
      <c r="C11" s="13">
        <v>9</v>
      </c>
      <c r="D11" s="8" t="s">
        <v>57</v>
      </c>
      <c r="E11" s="8" t="s">
        <v>67</v>
      </c>
      <c r="F11" s="8" t="s">
        <v>76</v>
      </c>
      <c r="G11" s="8" t="s">
        <v>86</v>
      </c>
      <c r="H11" s="9">
        <v>44087</v>
      </c>
      <c r="I11" s="8">
        <v>150</v>
      </c>
    </row>
    <row r="12" spans="3:9" ht="17.399999999999999">
      <c r="C12" s="13">
        <v>10</v>
      </c>
      <c r="D12" s="8" t="s">
        <v>58</v>
      </c>
      <c r="E12" s="8" t="s">
        <v>65</v>
      </c>
      <c r="F12" s="8" t="s">
        <v>76</v>
      </c>
      <c r="G12" s="8" t="s">
        <v>87</v>
      </c>
      <c r="H12" s="9">
        <v>44121</v>
      </c>
      <c r="I12" s="8">
        <v>129</v>
      </c>
    </row>
    <row r="13" spans="3:9" ht="17.399999999999999">
      <c r="C13" s="13">
        <v>11</v>
      </c>
      <c r="D13" s="8" t="s">
        <v>60</v>
      </c>
      <c r="E13" s="8" t="s">
        <v>68</v>
      </c>
      <c r="F13" s="8" t="s">
        <v>73</v>
      </c>
      <c r="G13" s="8" t="s">
        <v>89</v>
      </c>
      <c r="H13" s="9">
        <v>43862</v>
      </c>
      <c r="I13" s="8">
        <v>107</v>
      </c>
    </row>
    <row r="14" spans="3:9" ht="17.399999999999999">
      <c r="C14" s="13">
        <v>12</v>
      </c>
      <c r="D14" s="8" t="s">
        <v>59</v>
      </c>
      <c r="E14" s="8" t="s">
        <v>48</v>
      </c>
      <c r="F14" s="8" t="s">
        <v>78</v>
      </c>
      <c r="G14" s="8" t="s">
        <v>85</v>
      </c>
      <c r="H14" s="9">
        <v>43999</v>
      </c>
      <c r="I14" s="8">
        <v>100</v>
      </c>
    </row>
    <row r="15" spans="3:9" ht="17.399999999999999">
      <c r="C15" s="13">
        <v>13</v>
      </c>
      <c r="D15" s="8" t="s">
        <v>70</v>
      </c>
      <c r="E15" s="8" t="s">
        <v>69</v>
      </c>
      <c r="F15" s="8" t="s">
        <v>79</v>
      </c>
      <c r="G15" s="8" t="s">
        <v>50</v>
      </c>
      <c r="H15" s="9">
        <v>44185</v>
      </c>
      <c r="I15" s="8">
        <v>55</v>
      </c>
    </row>
    <row r="17" spans="1:8" ht="20.399999999999999">
      <c r="D17" s="11" t="s">
        <v>37</v>
      </c>
      <c r="E17" s="11" t="s">
        <v>91</v>
      </c>
      <c r="G17" s="11" t="s">
        <v>93</v>
      </c>
      <c r="H17" s="11" t="s">
        <v>92</v>
      </c>
    </row>
    <row r="18" spans="1:8" ht="20.399999999999999">
      <c r="B18" s="18"/>
      <c r="C18" s="18"/>
      <c r="D18" s="10" t="s">
        <v>43</v>
      </c>
      <c r="E18" s="10">
        <f>MATCH(D18,Table2[Customer],0)</f>
        <v>1</v>
      </c>
      <c r="G18" s="14" t="s">
        <v>41</v>
      </c>
      <c r="H18" s="14">
        <f>MATCH(G18,Table2[#Headers],0)</f>
        <v>5</v>
      </c>
    </row>
    <row r="19" spans="1:8">
      <c r="B19" s="18"/>
      <c r="C19" s="18"/>
    </row>
    <row r="20" spans="1:8" ht="17.399999999999999">
      <c r="B20" s="16" t="s">
        <v>94</v>
      </c>
      <c r="C20" s="16" t="s">
        <v>95</v>
      </c>
    </row>
    <row r="21" spans="1:8">
      <c r="A21">
        <v>1</v>
      </c>
      <c r="B21" s="15">
        <v>0.1</v>
      </c>
      <c r="C21" s="17">
        <v>700000</v>
      </c>
    </row>
    <row r="22" spans="1:8">
      <c r="A22">
        <v>2</v>
      </c>
      <c r="B22" s="15">
        <v>0.15</v>
      </c>
      <c r="C22" s="17">
        <v>800000</v>
      </c>
    </row>
    <row r="23" spans="1:8">
      <c r="A23">
        <v>3</v>
      </c>
      <c r="B23" s="15">
        <v>0.18</v>
      </c>
      <c r="C23" s="17">
        <v>910000</v>
      </c>
    </row>
    <row r="24" spans="1:8">
      <c r="A24">
        <v>4</v>
      </c>
      <c r="B24" s="15">
        <v>0.25</v>
      </c>
      <c r="C24" s="17">
        <v>930000</v>
      </c>
    </row>
    <row r="25" spans="1:8">
      <c r="A25">
        <v>5</v>
      </c>
      <c r="B25" s="15">
        <v>0.28999999999999998</v>
      </c>
      <c r="C25" s="17">
        <v>935000</v>
      </c>
    </row>
    <row r="26" spans="1:8">
      <c r="A26">
        <v>6</v>
      </c>
      <c r="B26" s="15">
        <v>0.35</v>
      </c>
      <c r="C26" s="17">
        <v>950000</v>
      </c>
    </row>
    <row r="27" spans="1:8">
      <c r="A27">
        <v>7</v>
      </c>
      <c r="B27" s="15">
        <v>0.4</v>
      </c>
      <c r="C27" s="17">
        <v>970000</v>
      </c>
    </row>
    <row r="28" spans="1:8">
      <c r="A28">
        <v>8</v>
      </c>
      <c r="B28" s="15">
        <v>0.3</v>
      </c>
      <c r="C28" s="17">
        <v>999000</v>
      </c>
      <c r="D28" s="18"/>
      <c r="E28" s="18"/>
    </row>
  </sheetData>
  <sortState ref="A18:E28">
    <sortCondition ref="C21"/>
  </sortState>
  <dataValidations count="2">
    <dataValidation type="list" allowBlank="1" showInputMessage="1" showErrorMessage="1" sqref="D18">
      <formula1>$D$3:$D$15</formula1>
    </dataValidation>
    <dataValidation type="list" allowBlank="1" showInputMessage="1" showErrorMessage="1" sqref="G18">
      <formula1>$D$2:$I$2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1"/>
  </sheetPr>
  <dimension ref="C6:S21"/>
  <sheetViews>
    <sheetView tabSelected="1" topLeftCell="A5" workbookViewId="0">
      <selection activeCell="K28" sqref="K28"/>
    </sheetView>
  </sheetViews>
  <sheetFormatPr defaultRowHeight="14.4"/>
  <cols>
    <col min="3" max="3" width="11.5546875" customWidth="1"/>
    <col min="4" max="4" width="10" customWidth="1"/>
    <col min="5" max="5" width="21.5546875" customWidth="1"/>
    <col min="7" max="7" width="11.5546875" customWidth="1"/>
    <col min="8" max="8" width="11" customWidth="1"/>
    <col min="9" max="9" width="11.77734375" customWidth="1"/>
    <col min="10" max="10" width="11.21875" customWidth="1"/>
    <col min="11" max="11" width="13.33203125" customWidth="1"/>
    <col min="12" max="12" width="14.33203125" customWidth="1"/>
    <col min="13" max="13" width="13" customWidth="1"/>
    <col min="14" max="14" width="12.33203125" customWidth="1"/>
    <col min="15" max="15" width="11.77734375" customWidth="1"/>
    <col min="16" max="16" width="15.33203125" customWidth="1"/>
    <col min="17" max="17" width="16" customWidth="1"/>
    <col min="18" max="18" width="12.77734375" customWidth="1"/>
    <col min="19" max="19" width="11.33203125" customWidth="1"/>
  </cols>
  <sheetData>
    <row r="6" spans="3:19">
      <c r="H6" s="19">
        <v>1</v>
      </c>
      <c r="I6" s="19">
        <v>2</v>
      </c>
      <c r="J6" s="19">
        <v>3</v>
      </c>
      <c r="K6" s="19">
        <v>4</v>
      </c>
      <c r="L6" s="19">
        <v>5</v>
      </c>
      <c r="M6" s="19">
        <v>6</v>
      </c>
      <c r="N6" s="19">
        <v>7</v>
      </c>
      <c r="O6" s="19">
        <v>8</v>
      </c>
      <c r="P6" s="19">
        <v>9</v>
      </c>
      <c r="Q6" s="19">
        <v>10</v>
      </c>
      <c r="R6" s="19">
        <v>11</v>
      </c>
      <c r="S6" s="19">
        <v>12</v>
      </c>
    </row>
    <row r="7" spans="3:19" ht="20.399999999999999">
      <c r="C7" s="25" t="s">
        <v>96</v>
      </c>
      <c r="D7" s="25" t="s">
        <v>97</v>
      </c>
      <c r="E7" s="25" t="s">
        <v>125</v>
      </c>
      <c r="G7" s="20" t="s">
        <v>98</v>
      </c>
      <c r="H7" s="21" t="s">
        <v>99</v>
      </c>
      <c r="I7" s="21" t="s">
        <v>100</v>
      </c>
      <c r="J7" s="21" t="s">
        <v>101</v>
      </c>
      <c r="K7" s="21" t="s">
        <v>102</v>
      </c>
      <c r="L7" s="21" t="s">
        <v>103</v>
      </c>
      <c r="M7" s="21" t="s">
        <v>104</v>
      </c>
      <c r="N7" s="21" t="s">
        <v>105</v>
      </c>
      <c r="O7" s="21" t="s">
        <v>106</v>
      </c>
      <c r="P7" s="21" t="s">
        <v>107</v>
      </c>
      <c r="Q7" s="21" t="s">
        <v>108</v>
      </c>
      <c r="R7" s="21" t="s">
        <v>109</v>
      </c>
      <c r="S7" s="22" t="s">
        <v>110</v>
      </c>
    </row>
    <row r="8" spans="3:19" ht="19.2" customHeight="1">
      <c r="C8" s="24" t="s">
        <v>114</v>
      </c>
      <c r="D8" s="24" t="s">
        <v>102</v>
      </c>
      <c r="E8" s="32">
        <f>INDEX(Table3[[Apple]:[Guava]],C9,D9)</f>
        <v>456</v>
      </c>
      <c r="F8" s="19">
        <v>1</v>
      </c>
      <c r="G8" s="26" t="s">
        <v>111</v>
      </c>
      <c r="H8" s="27">
        <v>471</v>
      </c>
      <c r="I8" s="27">
        <v>366</v>
      </c>
      <c r="J8" s="27">
        <v>444</v>
      </c>
      <c r="K8" s="27">
        <v>465</v>
      </c>
      <c r="L8" s="27">
        <v>253</v>
      </c>
      <c r="M8" s="27">
        <v>443</v>
      </c>
      <c r="N8" s="27">
        <v>506</v>
      </c>
      <c r="O8" s="27">
        <v>467</v>
      </c>
      <c r="P8" s="27">
        <v>358</v>
      </c>
      <c r="Q8" s="27">
        <v>401</v>
      </c>
      <c r="R8" s="27">
        <v>420</v>
      </c>
      <c r="S8" s="28">
        <v>274</v>
      </c>
    </row>
    <row r="9" spans="3:19" ht="19.8" customHeight="1">
      <c r="C9" s="24">
        <f>MATCH(C8,Table3[[Name ]],0)</f>
        <v>4</v>
      </c>
      <c r="D9" s="24">
        <f>MATCH(D8,Table3[[#Headers],[Apple]:[Guava]],0)</f>
        <v>4</v>
      </c>
      <c r="E9" s="33"/>
      <c r="F9" s="19">
        <v>2</v>
      </c>
      <c r="G9" s="26" t="s">
        <v>112</v>
      </c>
      <c r="H9" s="27">
        <v>484</v>
      </c>
      <c r="I9" s="27">
        <v>541</v>
      </c>
      <c r="J9" s="27">
        <v>473</v>
      </c>
      <c r="K9" s="27">
        <v>342</v>
      </c>
      <c r="L9" s="27">
        <v>434</v>
      </c>
      <c r="M9" s="27">
        <v>351</v>
      </c>
      <c r="N9" s="27">
        <v>434</v>
      </c>
      <c r="O9" s="27">
        <v>398</v>
      </c>
      <c r="P9" s="27">
        <v>311</v>
      </c>
      <c r="Q9" s="27">
        <v>319</v>
      </c>
      <c r="R9" s="27">
        <v>352</v>
      </c>
      <c r="S9" s="28">
        <v>324</v>
      </c>
    </row>
    <row r="10" spans="3:19">
      <c r="F10" s="19">
        <v>3</v>
      </c>
      <c r="G10" s="26" t="s">
        <v>113</v>
      </c>
      <c r="H10" s="27">
        <v>521</v>
      </c>
      <c r="I10" s="27">
        <v>489</v>
      </c>
      <c r="J10" s="27">
        <v>291</v>
      </c>
      <c r="K10" s="27">
        <v>544</v>
      </c>
      <c r="L10" s="27">
        <v>286</v>
      </c>
      <c r="M10" s="27">
        <v>491</v>
      </c>
      <c r="N10" s="27">
        <v>508</v>
      </c>
      <c r="O10" s="27">
        <v>390</v>
      </c>
      <c r="P10" s="27">
        <v>261</v>
      </c>
      <c r="Q10" s="27">
        <v>314</v>
      </c>
      <c r="R10" s="27">
        <v>472</v>
      </c>
      <c r="S10" s="28">
        <v>257</v>
      </c>
    </row>
    <row r="11" spans="3:19">
      <c r="F11" s="19">
        <v>4</v>
      </c>
      <c r="G11" s="26" t="s">
        <v>114</v>
      </c>
      <c r="H11" s="27">
        <v>484</v>
      </c>
      <c r="I11" s="27">
        <v>336</v>
      </c>
      <c r="J11" s="27">
        <v>415</v>
      </c>
      <c r="K11" s="27">
        <v>456</v>
      </c>
      <c r="L11" s="27">
        <v>272</v>
      </c>
      <c r="M11" s="27">
        <v>308</v>
      </c>
      <c r="N11" s="27">
        <v>483</v>
      </c>
      <c r="O11" s="27">
        <v>491</v>
      </c>
      <c r="P11" s="27">
        <v>275</v>
      </c>
      <c r="Q11" s="27">
        <v>420</v>
      </c>
      <c r="R11" s="27">
        <v>512</v>
      </c>
      <c r="S11" s="28">
        <v>306</v>
      </c>
    </row>
    <row r="12" spans="3:19">
      <c r="E12" s="23"/>
      <c r="F12" s="19">
        <v>5</v>
      </c>
      <c r="G12" s="26" t="s">
        <v>115</v>
      </c>
      <c r="H12" s="27">
        <v>330</v>
      </c>
      <c r="I12" s="27">
        <v>350</v>
      </c>
      <c r="J12" s="27">
        <v>414</v>
      </c>
      <c r="K12" s="27">
        <v>372</v>
      </c>
      <c r="L12" s="27">
        <v>441</v>
      </c>
      <c r="M12" s="27">
        <v>425</v>
      </c>
      <c r="N12" s="27">
        <v>391</v>
      </c>
      <c r="O12" s="27">
        <v>411</v>
      </c>
      <c r="P12" s="27">
        <v>366</v>
      </c>
      <c r="Q12" s="27">
        <v>546</v>
      </c>
      <c r="R12" s="27">
        <v>424</v>
      </c>
      <c r="S12" s="28">
        <v>387</v>
      </c>
    </row>
    <row r="13" spans="3:19">
      <c r="F13" s="19">
        <v>6</v>
      </c>
      <c r="G13" s="26" t="s">
        <v>116</v>
      </c>
      <c r="H13" s="27">
        <v>467</v>
      </c>
      <c r="I13" s="27">
        <v>491</v>
      </c>
      <c r="J13" s="27">
        <v>339</v>
      </c>
      <c r="K13" s="27">
        <v>423</v>
      </c>
      <c r="L13" s="27">
        <v>339</v>
      </c>
      <c r="M13" s="27">
        <v>440</v>
      </c>
      <c r="N13" s="27">
        <v>412</v>
      </c>
      <c r="O13" s="27">
        <v>347</v>
      </c>
      <c r="P13" s="27">
        <v>274</v>
      </c>
      <c r="Q13" s="27">
        <v>432</v>
      </c>
      <c r="R13" s="27">
        <v>341</v>
      </c>
      <c r="S13" s="28">
        <v>289</v>
      </c>
    </row>
    <row r="14" spans="3:19">
      <c r="F14" s="19">
        <v>7</v>
      </c>
      <c r="G14" s="26" t="s">
        <v>117</v>
      </c>
      <c r="H14" s="27">
        <v>358</v>
      </c>
      <c r="I14" s="27">
        <v>374</v>
      </c>
      <c r="J14" s="27">
        <v>475</v>
      </c>
      <c r="K14" s="27">
        <v>342</v>
      </c>
      <c r="L14" s="27">
        <v>488</v>
      </c>
      <c r="M14" s="27">
        <v>306</v>
      </c>
      <c r="N14" s="27">
        <v>361</v>
      </c>
      <c r="O14" s="27">
        <v>308</v>
      </c>
      <c r="P14" s="27">
        <v>324</v>
      </c>
      <c r="Q14" s="27">
        <v>454</v>
      </c>
      <c r="R14" s="27">
        <v>346</v>
      </c>
      <c r="S14" s="28">
        <v>462</v>
      </c>
    </row>
    <row r="15" spans="3:19">
      <c r="F15" s="19">
        <v>8</v>
      </c>
      <c r="G15" s="26" t="s">
        <v>118</v>
      </c>
      <c r="H15" s="27">
        <v>274</v>
      </c>
      <c r="I15" s="27">
        <v>402</v>
      </c>
      <c r="J15" s="27">
        <v>321</v>
      </c>
      <c r="K15" s="27">
        <v>478</v>
      </c>
      <c r="L15" s="27">
        <v>397</v>
      </c>
      <c r="M15" s="27">
        <v>387</v>
      </c>
      <c r="N15" s="27">
        <v>368</v>
      </c>
      <c r="O15" s="27">
        <v>254</v>
      </c>
      <c r="P15" s="27">
        <v>257</v>
      </c>
      <c r="Q15" s="27">
        <v>479</v>
      </c>
      <c r="R15" s="27">
        <v>260</v>
      </c>
      <c r="S15" s="28">
        <v>318</v>
      </c>
    </row>
    <row r="16" spans="3:19">
      <c r="F16" s="19">
        <v>9</v>
      </c>
      <c r="G16" s="26" t="s">
        <v>119</v>
      </c>
      <c r="H16" s="27">
        <v>332</v>
      </c>
      <c r="I16" s="27">
        <v>420</v>
      </c>
      <c r="J16" s="27">
        <v>318</v>
      </c>
      <c r="K16" s="27">
        <v>260</v>
      </c>
      <c r="L16" s="27">
        <v>514</v>
      </c>
      <c r="M16" s="27">
        <v>289</v>
      </c>
      <c r="N16" s="27">
        <v>291</v>
      </c>
      <c r="O16" s="27">
        <v>287</v>
      </c>
      <c r="P16" s="27">
        <v>487</v>
      </c>
      <c r="Q16" s="27">
        <v>397</v>
      </c>
      <c r="R16" s="27">
        <v>372</v>
      </c>
      <c r="S16" s="28">
        <v>360</v>
      </c>
    </row>
    <row r="17" spans="6:19">
      <c r="F17" s="19">
        <v>10</v>
      </c>
      <c r="G17" s="26" t="s">
        <v>120</v>
      </c>
      <c r="H17" s="27">
        <v>510</v>
      </c>
      <c r="I17" s="27">
        <v>507</v>
      </c>
      <c r="J17" s="27">
        <v>518</v>
      </c>
      <c r="K17" s="27">
        <v>447</v>
      </c>
      <c r="L17" s="27">
        <v>420</v>
      </c>
      <c r="M17" s="27">
        <v>462</v>
      </c>
      <c r="N17" s="27">
        <v>550</v>
      </c>
      <c r="O17" s="27">
        <v>311</v>
      </c>
      <c r="P17" s="27">
        <v>470</v>
      </c>
      <c r="Q17" s="27">
        <v>534</v>
      </c>
      <c r="R17" s="27">
        <v>421</v>
      </c>
      <c r="S17" s="28">
        <v>550</v>
      </c>
    </row>
    <row r="18" spans="6:19">
      <c r="F18" s="19">
        <v>11</v>
      </c>
      <c r="G18" s="26" t="s">
        <v>121</v>
      </c>
      <c r="H18" s="27">
        <v>255</v>
      </c>
      <c r="I18" s="27">
        <v>370</v>
      </c>
      <c r="J18" s="27">
        <v>524</v>
      </c>
      <c r="K18" s="27">
        <v>298</v>
      </c>
      <c r="L18" s="27">
        <v>418</v>
      </c>
      <c r="M18" s="27">
        <v>318</v>
      </c>
      <c r="N18" s="27">
        <v>346</v>
      </c>
      <c r="O18" s="27">
        <v>531</v>
      </c>
      <c r="P18" s="27">
        <v>519</v>
      </c>
      <c r="Q18" s="27">
        <v>279</v>
      </c>
      <c r="R18" s="27">
        <v>507</v>
      </c>
      <c r="S18" s="28">
        <v>346</v>
      </c>
    </row>
    <row r="19" spans="6:19">
      <c r="F19" s="19">
        <v>12</v>
      </c>
      <c r="G19" s="26" t="s">
        <v>122</v>
      </c>
      <c r="H19" s="27">
        <v>380</v>
      </c>
      <c r="I19" s="27">
        <v>421</v>
      </c>
      <c r="J19" s="27">
        <v>421</v>
      </c>
      <c r="K19" s="27">
        <v>474</v>
      </c>
      <c r="L19" s="27">
        <v>491</v>
      </c>
      <c r="M19" s="27">
        <v>360</v>
      </c>
      <c r="N19" s="27">
        <v>485</v>
      </c>
      <c r="O19" s="27">
        <v>438</v>
      </c>
      <c r="P19" s="27">
        <v>417</v>
      </c>
      <c r="Q19" s="27">
        <v>381</v>
      </c>
      <c r="R19" s="27">
        <v>325</v>
      </c>
      <c r="S19" s="28">
        <v>485</v>
      </c>
    </row>
    <row r="20" spans="6:19">
      <c r="F20" s="19">
        <v>13</v>
      </c>
      <c r="G20" s="26" t="s">
        <v>123</v>
      </c>
      <c r="H20" s="27">
        <v>329</v>
      </c>
      <c r="I20" s="27">
        <v>458</v>
      </c>
      <c r="J20" s="27">
        <v>508</v>
      </c>
      <c r="K20" s="27">
        <v>541</v>
      </c>
      <c r="L20" s="27">
        <v>534</v>
      </c>
      <c r="M20" s="27">
        <v>429</v>
      </c>
      <c r="N20" s="27">
        <v>543</v>
      </c>
      <c r="O20" s="27">
        <v>470</v>
      </c>
      <c r="P20" s="27">
        <v>466</v>
      </c>
      <c r="Q20" s="27">
        <v>494</v>
      </c>
      <c r="R20" s="27">
        <v>494</v>
      </c>
      <c r="S20" s="28">
        <v>543</v>
      </c>
    </row>
    <row r="21" spans="6:19">
      <c r="F21" s="19">
        <v>14</v>
      </c>
      <c r="G21" s="29" t="s">
        <v>124</v>
      </c>
      <c r="H21" s="30">
        <v>438</v>
      </c>
      <c r="I21" s="30">
        <v>305</v>
      </c>
      <c r="J21" s="30">
        <v>502</v>
      </c>
      <c r="K21" s="30">
        <v>371</v>
      </c>
      <c r="L21" s="30">
        <v>252</v>
      </c>
      <c r="M21" s="30">
        <v>328</v>
      </c>
      <c r="N21" s="30">
        <v>533</v>
      </c>
      <c r="O21" s="30">
        <v>547</v>
      </c>
      <c r="P21" s="30">
        <v>352</v>
      </c>
      <c r="Q21" s="30">
        <v>496</v>
      </c>
      <c r="R21" s="30">
        <v>417</v>
      </c>
      <c r="S21" s="31">
        <v>533</v>
      </c>
    </row>
  </sheetData>
  <mergeCells count="1">
    <mergeCell ref="E8:E9"/>
  </mergeCells>
  <conditionalFormatting sqref="G7:S21">
    <cfRule type="expression" dxfId="18" priority="1">
      <formula>AND($C$8=$G7,$D$8=G$7,$E$8+E8)</formula>
    </cfRule>
  </conditionalFormatting>
  <dataValidations count="2">
    <dataValidation type="list" allowBlank="1" showInputMessage="1" showErrorMessage="1" sqref="C8">
      <formula1>$G$8:$G$21</formula1>
    </dataValidation>
    <dataValidation type="list" allowBlank="1" showInputMessage="1" showErrorMessage="1" sqref="D8">
      <formula1>$H$7:$S$7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INDEX</vt:lpstr>
      <vt:lpstr>MATCH</vt:lpstr>
      <vt:lpstr>INDEX &amp; MATCH 1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2025-11-05T04:23:55Z</dcterms:created>
  <dcterms:modified xsi:type="dcterms:W3CDTF">2025-11-06T06:55:52Z</dcterms:modified>
</cp:coreProperties>
</file>