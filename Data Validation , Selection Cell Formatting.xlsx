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4" yWindow="-12" windowWidth="23064" windowHeight="8832"/>
  </bookViews>
  <sheets>
    <sheet name="Sheet2" sheetId="2" r:id="rId1"/>
    <sheet name="Sheet3" sheetId="3" r:id="rId2"/>
  </sheets>
  <calcPr calcId="144525"/>
</workbook>
</file>

<file path=xl/calcChain.xml><?xml version="1.0" encoding="utf-8"?>
<calcChain xmlns="http://schemas.openxmlformats.org/spreadsheetml/2006/main">
  <c r="E8" i="2" l="1"/>
  <c r="D7" i="2"/>
  <c r="D6" i="2"/>
  <c r="D8" i="2" l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H18" i="2"/>
  <c r="I18" i="2"/>
  <c r="J18" i="2"/>
  <c r="K18" i="2"/>
  <c r="K8" i="3"/>
  <c r="L8" i="3"/>
  <c r="M8" i="3"/>
  <c r="N8" i="3"/>
  <c r="O8" i="3"/>
  <c r="K9" i="3"/>
  <c r="L9" i="3"/>
  <c r="M9" i="3"/>
  <c r="N9" i="3"/>
  <c r="O9" i="3"/>
  <c r="K10" i="3"/>
  <c r="L10" i="3"/>
  <c r="M10" i="3"/>
  <c r="N10" i="3"/>
  <c r="O10" i="3"/>
  <c r="K11" i="3"/>
  <c r="L11" i="3"/>
  <c r="M11" i="3"/>
  <c r="N11" i="3"/>
  <c r="O11" i="3"/>
  <c r="K12" i="3"/>
  <c r="L12" i="3"/>
  <c r="M12" i="3"/>
  <c r="N12" i="3"/>
  <c r="O12" i="3"/>
  <c r="K13" i="3"/>
  <c r="L13" i="3"/>
  <c r="M13" i="3"/>
  <c r="N13" i="3"/>
  <c r="O13" i="3"/>
  <c r="K14" i="3"/>
  <c r="L14" i="3"/>
  <c r="M14" i="3"/>
  <c r="N14" i="3"/>
  <c r="O14" i="3"/>
  <c r="K15" i="3"/>
  <c r="L15" i="3"/>
  <c r="M15" i="3"/>
  <c r="N15" i="3"/>
  <c r="O15" i="3"/>
  <c r="K16" i="3"/>
  <c r="L16" i="3"/>
  <c r="M16" i="3"/>
  <c r="N16" i="3"/>
  <c r="O16" i="3"/>
  <c r="K17" i="3"/>
  <c r="L17" i="3"/>
  <c r="M17" i="3"/>
  <c r="N17" i="3"/>
  <c r="O17" i="3"/>
  <c r="K18" i="3"/>
  <c r="L18" i="3"/>
  <c r="M18" i="3"/>
  <c r="N18" i="3"/>
  <c r="O18" i="3"/>
  <c r="K19" i="3"/>
  <c r="L19" i="3"/>
  <c r="M19" i="3"/>
  <c r="N19" i="3"/>
  <c r="O19" i="3"/>
</calcChain>
</file>

<file path=xl/sharedStrings.xml><?xml version="1.0" encoding="utf-8"?>
<sst xmlns="http://schemas.openxmlformats.org/spreadsheetml/2006/main" count="33" uniqueCount="27">
  <si>
    <t>Month</t>
  </si>
  <si>
    <t>Item</t>
  </si>
  <si>
    <t>Result</t>
  </si>
  <si>
    <t>Way 1</t>
  </si>
  <si>
    <t>Way2</t>
  </si>
  <si>
    <t>Pendrive 4GB</t>
  </si>
  <si>
    <t>Pendrive 6GB</t>
  </si>
  <si>
    <t>Pendrive 8GB</t>
  </si>
  <si>
    <t>Pendrive 10GB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</si>
  <si>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</si>
  <si>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</si>
  <si>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</si>
  <si>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</si>
  <si>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</si>
  <si>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</si>
  <si>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</si>
  <si>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</si>
  <si>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</si>
  <si>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</si>
  <si>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</si>
  <si>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</si>
  <si>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Alt + H V V</t>
  </si>
  <si>
    <t>Random Number Paste</t>
  </si>
  <si>
    <t>Total</t>
  </si>
  <si>
    <t>Quantity</t>
  </si>
  <si>
    <t>Conditional Formatting Selection Cell</t>
  </si>
  <si>
    <t>Dropdown list &amp; Index/Match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</si>
</sst>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8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/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G5:L18" totalsRowShown="0" dataDxfId="11">
  <autoFilter ref="G5:L18"/>
  <tableColumns count="6">
    <tableColumn id="1" name="Month" dataDxfId="10"/>
    <tableColumn id="2" name="Pendrive 4GB" dataDxfId="9"/>
    <tableColumn id="3" name="Pendrive 6GB" dataDxfId="8"/>
    <tableColumn id="4" name="Pendrive 8GB" dataDxfId="7"/>
    <tableColumn id="5" name="Pendrive 10GB" dataDxfId="6"/>
    <tableColumn id="7" name="Total" dataDxfId="5">
      <calculatedColumnFormula>SUM(Table2[[#This Row],[Pendrive 4GB]:[Pendrive 10GB]])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6"/>
  <sheetViews>
    <sheetView tabSelected="1" zoomScale="120" zoomScaleNormal="120" workbookViewId="0">
      <selection activeCell="C15" sqref="C15"/>
    </sheetView>
  </sheetViews>
  <sheetFormatPr defaultRowHeight="14.4" x14ac:dyDescent="0.3"/>
  <cols>
    <col min="2" max="2" width="16.44140625" customWidth="1"/>
    <col min="3" max="3" width="14.21875" customWidth="1"/>
    <col min="4" max="4" width="10.5546875" customWidth="1"/>
    <col min="5" max="5" width="13.77734375" customWidth="1"/>
    <col min="7" max="7" width="12.88671875" customWidth="1"/>
    <col min="8" max="8" width="16.44140625" customWidth="1"/>
    <col min="9" max="9" width="17.5546875" customWidth="1"/>
    <col min="10" max="10" width="17.6640625" customWidth="1"/>
    <col min="11" max="11" width="16.5546875" customWidth="1"/>
  </cols>
  <sheetData>
    <row r="2" spans="2:12" ht="17.399999999999999" x14ac:dyDescent="0.3">
      <c r="B2" s="12" t="s">
        <v>26</v>
      </c>
      <c r="C2" s="12"/>
      <c r="D2" s="12"/>
      <c r="E2" s="12"/>
    </row>
    <row r="3" spans="2:12" ht="17.399999999999999" x14ac:dyDescent="0.3">
      <c r="B3" s="11" t="s">
        <v>25</v>
      </c>
      <c r="C3" s="11"/>
      <c r="D3" s="11"/>
      <c r="E3" s="11"/>
    </row>
    <row r="4" spans="2:12" x14ac:dyDescent="0.3">
      <c r="H4" s="1">
        <v>1</v>
      </c>
      <c r="I4" s="1">
        <v>2</v>
      </c>
      <c r="J4" s="1">
        <v>3</v>
      </c>
      <c r="K4" s="1">
        <v>4</v>
      </c>
      <c r="L4" s="1"/>
    </row>
    <row r="5" spans="2:12" x14ac:dyDescent="0.3">
      <c r="D5" s="5" t="s">
        <v>3</v>
      </c>
      <c r="E5" s="6" t="s">
        <v>4</v>
      </c>
      <c r="G5" t="s">
        <v>0</v>
      </c>
      <c r="H5" t="s">
        <v>5</v>
      </c>
      <c r="I5" t="s">
        <v>6</v>
      </c>
      <c r="J5" t="s">
        <v>7</v>
      </c>
      <c r="K5" t="s">
        <v>8</v>
      </c>
      <c r="L5" t="s">
        <v>23</v>
      </c>
    </row>
    <row r="6" spans="2:12" x14ac:dyDescent="0.3">
      <c r="B6" s="7" t="s">
        <v>0</v>
      </c>
      <c r="C6" s="7" t="s">
        <v>18</v>
      </c>
      <c r="D6" s="7">
        <f>MATCH(C6,G6:G17,0)</f>
        <v>10</v>
      </c>
      <c r="E6" s="10" t="s">
        <v>14</v>
      </c>
      <c r="F6">
        <v>1</v>
      </c>
      <c r="G6" s="1" t="s">
        <v>9</v>
      </c>
      <c r="H6" s="1">
        <v>287</v>
      </c>
      <c r="I6" s="1">
        <v>225</v>
      </c>
      <c r="J6" s="1">
        <v>400</v>
      </c>
      <c r="K6" s="1">
        <v>687</v>
      </c>
      <c r="L6" s="1">
        <f>SUM(Table2[[#This Row],[Pendrive 4GB]:[Pendrive 10GB]])</f>
        <v>1599</v>
      </c>
    </row>
    <row r="7" spans="2:12" x14ac:dyDescent="0.3">
      <c r="B7" s="8" t="s">
        <v>1</v>
      </c>
      <c r="C7" s="8" t="s">
        <v>7</v>
      </c>
      <c r="D7" s="8">
        <f>MATCH(C7,Table2[[#Headers],[Pendrive 4GB]:[Pendrive 10GB]],0)</f>
        <v>3</v>
      </c>
      <c r="E7" s="10" t="s">
        <v>5</v>
      </c>
      <c r="F7">
        <v>2</v>
      </c>
      <c r="G7" s="1" t="s">
        <v>10</v>
      </c>
      <c r="H7" s="1">
        <v>980</v>
      </c>
      <c r="I7" s="1">
        <v>298</v>
      </c>
      <c r="J7" s="1">
        <v>854</v>
      </c>
      <c r="K7" s="1">
        <v>253</v>
      </c>
      <c r="L7" s="1">
        <f>SUM(Table2[[#This Row],[Pendrive 4GB]:[Pendrive 10GB]])</f>
        <v>2385</v>
      </c>
    </row>
    <row r="8" spans="2:12" x14ac:dyDescent="0.3">
      <c r="B8" s="9" t="s">
        <v>2</v>
      </c>
      <c r="C8" s="9" t="s">
        <v>24</v>
      </c>
      <c r="D8" s="9">
        <f>INDEX(H6:K17,D6,D7)</f>
        <v>622</v>
      </c>
      <c r="E8" s="10">
        <f>INDEX(H6:K17,MATCH(E6,G6:G17,0),MATCH(E7,Table2[[#Headers],[Pendrive 4GB]:[Pendrive 10GB]],0))</f>
        <v>581</v>
      </c>
      <c r="F8">
        <v>3</v>
      </c>
      <c r="G8" s="1" t="s">
        <v>11</v>
      </c>
      <c r="H8" s="1">
        <v>462</v>
      </c>
      <c r="I8" s="1">
        <v>720</v>
      </c>
      <c r="J8" s="1">
        <v>871</v>
      </c>
      <c r="K8" s="1">
        <v>329</v>
      </c>
      <c r="L8" s="1">
        <f>SUM(Table2[[#This Row],[Pendrive 4GB]:[Pendrive 10GB]])</f>
        <v>2382</v>
      </c>
    </row>
    <row r="9" spans="2:12" x14ac:dyDescent="0.3">
      <c r="F9">
        <v>4</v>
      </c>
      <c r="G9" s="1" t="s">
        <v>12</v>
      </c>
      <c r="H9" s="1">
        <v>355</v>
      </c>
      <c r="I9" s="1">
        <v>518</v>
      </c>
      <c r="J9" s="1">
        <v>382</v>
      </c>
      <c r="K9" s="1">
        <v>931</v>
      </c>
      <c r="L9" s="1">
        <f>SUM(Table2[[#This Row],[Pendrive 4GB]:[Pendrive 10GB]])</f>
        <v>2186</v>
      </c>
    </row>
    <row r="10" spans="2:12" ht="22.8" x14ac:dyDescent="0.3">
      <c r="B10" s="4" t="s">
        <v>22</v>
      </c>
      <c r="C10" s="4"/>
      <c r="D10" s="4"/>
      <c r="E10" s="4"/>
      <c r="F10">
        <v>5</v>
      </c>
      <c r="G10" s="1" t="s">
        <v>13</v>
      </c>
      <c r="H10" s="1">
        <v>493</v>
      </c>
      <c r="I10" s="1">
        <v>458</v>
      </c>
      <c r="J10" s="1">
        <v>226</v>
      </c>
      <c r="K10" s="1">
        <v>534</v>
      </c>
      <c r="L10" s="1">
        <f>SUM(Table2[[#This Row],[Pendrive 4GB]:[Pendrive 10GB]])</f>
        <v>1711</v>
      </c>
    </row>
    <row r="11" spans="2:12" ht="22.8" x14ac:dyDescent="0.3">
      <c r="B11" s="4" t="s">
        <v>21</v>
      </c>
      <c r="C11" s="4"/>
      <c r="D11" s="4"/>
      <c r="E11" s="4"/>
      <c r="F11">
        <v>6</v>
      </c>
      <c r="G11" s="1" t="s">
        <v>14</v>
      </c>
      <c r="H11" s="1">
        <v>581</v>
      </c>
      <c r="I11" s="1">
        <v>270</v>
      </c>
      <c r="J11" s="1">
        <v>214</v>
      </c>
      <c r="K11" s="1">
        <v>536</v>
      </c>
      <c r="L11" s="1">
        <f>SUM(Table2[[#This Row],[Pendrive 4GB]:[Pendrive 10GB]])</f>
        <v>1601</v>
      </c>
    </row>
    <row r="12" spans="2:12" x14ac:dyDescent="0.3">
      <c r="F12">
        <v>7</v>
      </c>
      <c r="G12" s="1" t="s">
        <v>15</v>
      </c>
      <c r="H12" s="1">
        <v>313</v>
      </c>
      <c r="I12" s="1">
        <v>739</v>
      </c>
      <c r="J12" s="1">
        <v>204</v>
      </c>
      <c r="K12" s="1">
        <v>341</v>
      </c>
      <c r="L12" s="1">
        <f>SUM(Table2[[#This Row],[Pendrive 4GB]:[Pendrive 10GB]])</f>
        <v>1597</v>
      </c>
    </row>
    <row r="13" spans="2:12" x14ac:dyDescent="0.3">
      <c r="F13">
        <v>8</v>
      </c>
      <c r="G13" s="1" t="s">
        <v>16</v>
      </c>
      <c r="H13" s="1">
        <v>463</v>
      </c>
      <c r="I13" s="1">
        <v>803</v>
      </c>
      <c r="J13" s="1">
        <v>566</v>
      </c>
      <c r="K13" s="1">
        <v>511</v>
      </c>
      <c r="L13" s="1">
        <f>SUM(Table2[[#This Row],[Pendrive 4GB]:[Pendrive 10GB]])</f>
        <v>2343</v>
      </c>
    </row>
    <row r="14" spans="2:12" x14ac:dyDescent="0.3">
      <c r="F14">
        <v>9</v>
      </c>
      <c r="G14" s="1" t="s">
        <v>17</v>
      </c>
      <c r="H14" s="1">
        <v>457</v>
      </c>
      <c r="I14" s="1">
        <v>202</v>
      </c>
      <c r="J14" s="1">
        <v>551</v>
      </c>
      <c r="K14" s="1">
        <v>423</v>
      </c>
      <c r="L14" s="1">
        <f>SUM(Table2[[#This Row],[Pendrive 4GB]:[Pendrive 10GB]])</f>
        <v>1633</v>
      </c>
    </row>
    <row r="15" spans="2:12" x14ac:dyDescent="0.3">
      <c r="F15">
        <v>10</v>
      </c>
      <c r="G15" s="1" t="s">
        <v>18</v>
      </c>
      <c r="H15" s="1">
        <v>507</v>
      </c>
      <c r="I15" s="1">
        <v>432</v>
      </c>
      <c r="J15" s="1">
        <v>622</v>
      </c>
      <c r="K15" s="1">
        <v>796</v>
      </c>
      <c r="L15" s="1">
        <f>SUM(Table2[[#This Row],[Pendrive 4GB]:[Pendrive 10GB]])</f>
        <v>2357</v>
      </c>
    </row>
    <row r="16" spans="2:12" x14ac:dyDescent="0.3">
      <c r="F16">
        <v>11</v>
      </c>
      <c r="G16" s="1" t="s">
        <v>19</v>
      </c>
      <c r="H16" s="1">
        <v>200</v>
      </c>
      <c r="I16" s="1">
        <v>912</v>
      </c>
      <c r="J16" s="1">
        <v>905</v>
      </c>
      <c r="K16" s="1">
        <v>437</v>
      </c>
      <c r="L16" s="1">
        <f>SUM(Table2[[#This Row],[Pendrive 4GB]:[Pendrive 10GB]])</f>
        <v>2454</v>
      </c>
    </row>
    <row r="17" spans="2:12" x14ac:dyDescent="0.3">
      <c r="F17">
        <v>12</v>
      </c>
      <c r="G17" s="1" t="s">
        <v>20</v>
      </c>
      <c r="H17" s="1">
        <v>162</v>
      </c>
      <c r="I17" s="1">
        <v>265</v>
      </c>
      <c r="J17" s="1">
        <v>771</v>
      </c>
      <c r="K17" s="1">
        <v>552</v>
      </c>
      <c r="L17" s="1">
        <f>SUM(Table2[[#This Row],[Pendrive 4GB]:[Pendrive 10GB]])</f>
        <v>1750</v>
      </c>
    </row>
    <row r="18" spans="2:12" x14ac:dyDescent="0.3">
      <c r="G18" s="2" t="s">
        <v>2</v>
      </c>
      <c r="H18" s="2">
        <f>SUM(H6:H17)</f>
        <v>5260</v>
      </c>
      <c r="I18" s="2">
        <f>SUM(I6:I17)</f>
        <v>5842</v>
      </c>
      <c r="J18" s="2">
        <f>SUM(J6:J17)</f>
        <v>6566</v>
      </c>
      <c r="K18" s="2">
        <f>SUM(K6:K17)</f>
        <v>6330</v>
      </c>
      <c r="L18" s="2">
        <f>SUM(Table2[[#This Row],[Pendrive 4GB]:[Pendrive 10GB]])</f>
        <v>23998</v>
      </c>
    </row>
    <row r="21" spans="2:12" x14ac:dyDescent="0.3">
      <c r="B21" s="3"/>
    </row>
    <row r="22" spans="2:12" x14ac:dyDescent="0.3">
      <c r="B22" s="3"/>
    </row>
    <row r="23" spans="2:12" x14ac:dyDescent="0.3">
      <c r="B23" s="3"/>
    </row>
    <row r="24" spans="2:12" x14ac:dyDescent="0.3">
      <c r="B24" s="3"/>
    </row>
    <row r="25" spans="2:12" x14ac:dyDescent="0.3">
      <c r="B25" s="3"/>
    </row>
    <row r="26" spans="2:12" x14ac:dyDescent="0.3">
      <c r="B26" s="3"/>
    </row>
    <row r="27" spans="2:12" x14ac:dyDescent="0.3">
      <c r="B27" s="3"/>
    </row>
    <row r="28" spans="2:12" x14ac:dyDescent="0.3">
      <c r="B28" s="3"/>
    </row>
    <row r="29" spans="2:12" x14ac:dyDescent="0.3">
      <c r="B29" s="3"/>
    </row>
    <row r="30" spans="2:12" x14ac:dyDescent="0.3">
      <c r="B30" s="3"/>
    </row>
    <row r="31" spans="2:12" x14ac:dyDescent="0.3">
      <c r="B31" s="3"/>
    </row>
    <row r="32" spans="2:1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</sheetData>
  <mergeCells count="4">
    <mergeCell ref="B11:E11"/>
    <mergeCell ref="B10:E10"/>
    <mergeCell ref="B3:E3"/>
    <mergeCell ref="B2:E2"/>
  </mergeCells>
  <conditionalFormatting sqref="G5:K17">
    <cfRule type="expression" dxfId="2" priority="2">
      <formula>AND($E$6=$G5,$E$7=G$5,E8)</formula>
    </cfRule>
    <cfRule type="expression" dxfId="1" priority="1">
      <formula>AND($C$6=$G5,$C$7=G$5,$D$8=G5)</formula>
    </cfRule>
  </conditionalFormatting>
  <dataValidations count="3">
    <dataValidation type="list" errorStyle="warning" allowBlank="1" showInputMessage="1" showErrorMessage="1" errorTitle="Vai apni ki kana?" error="Mamun Academy channel thake Apni valo koray data validation shikhay asen, Please." promptTitle="Vai Sothik Data Input koren" prompt="Valo Koray Khayal korun" sqref="C6">
      <formula1>$G$6:$G$17</formula1>
    </dataValidation>
    <dataValidation type="list" allowBlank="1" showInputMessage="1" showErrorMessage="1" sqref="C7 E7">
      <formula1>$H$5:$K$5</formula1>
    </dataValidation>
    <dataValidation type="list" allowBlank="1" showInputMessage="1" showErrorMessage="1" sqref="E6">
      <formula1>$G$6:$G$17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8:O19"/>
  <sheetViews>
    <sheetView workbookViewId="0">
      <selection activeCell="K8" sqref="K8:O19"/>
    </sheetView>
  </sheetViews>
  <sheetFormatPr defaultRowHeight="14.4" x14ac:dyDescent="0.3"/>
  <sheetData>
    <row r="8" spans="11:15" x14ac:dyDescent="0.3">
      <c r="K8">
        <f t="shared" ref="K8:O19" ca="1" si="0">RANDBETWEEN(150,1000)</f>
        <v>390</v>
      </c>
      <c r="L8">
        <f t="shared" ca="1" si="0"/>
        <v>473</v>
      </c>
      <c r="M8">
        <f t="shared" ca="1" si="0"/>
        <v>236</v>
      </c>
      <c r="N8">
        <f t="shared" ca="1" si="0"/>
        <v>612</v>
      </c>
      <c r="O8">
        <f t="shared" ca="1" si="0"/>
        <v>636</v>
      </c>
    </row>
    <row r="9" spans="11:15" x14ac:dyDescent="0.3">
      <c r="K9">
        <f t="shared" ca="1" si="0"/>
        <v>158</v>
      </c>
      <c r="L9">
        <f t="shared" ca="1" si="0"/>
        <v>689</v>
      </c>
      <c r="M9">
        <f t="shared" ca="1" si="0"/>
        <v>276</v>
      </c>
      <c r="N9">
        <f t="shared" ca="1" si="0"/>
        <v>403</v>
      </c>
      <c r="O9">
        <f t="shared" ca="1" si="0"/>
        <v>376</v>
      </c>
    </row>
    <row r="10" spans="11:15" x14ac:dyDescent="0.3">
      <c r="K10">
        <f t="shared" ca="1" si="0"/>
        <v>302</v>
      </c>
      <c r="L10">
        <f t="shared" ca="1" si="0"/>
        <v>415</v>
      </c>
      <c r="M10">
        <f t="shared" ca="1" si="0"/>
        <v>990</v>
      </c>
      <c r="N10">
        <f t="shared" ca="1" si="0"/>
        <v>519</v>
      </c>
      <c r="O10">
        <f t="shared" ca="1" si="0"/>
        <v>168</v>
      </c>
    </row>
    <row r="11" spans="11:15" x14ac:dyDescent="0.3">
      <c r="K11">
        <f t="shared" ca="1" si="0"/>
        <v>989</v>
      </c>
      <c r="L11">
        <f t="shared" ca="1" si="0"/>
        <v>682</v>
      </c>
      <c r="M11">
        <f t="shared" ca="1" si="0"/>
        <v>293</v>
      </c>
      <c r="N11">
        <f t="shared" ca="1" si="0"/>
        <v>368</v>
      </c>
      <c r="O11">
        <f t="shared" ca="1" si="0"/>
        <v>826</v>
      </c>
    </row>
    <row r="12" spans="11:15" x14ac:dyDescent="0.3">
      <c r="K12">
        <f t="shared" ca="1" si="0"/>
        <v>408</v>
      </c>
      <c r="L12">
        <f t="shared" ca="1" si="0"/>
        <v>846</v>
      </c>
      <c r="M12">
        <f t="shared" ca="1" si="0"/>
        <v>528</v>
      </c>
      <c r="N12">
        <f t="shared" ca="1" si="0"/>
        <v>513</v>
      </c>
      <c r="O12">
        <f t="shared" ca="1" si="0"/>
        <v>365</v>
      </c>
    </row>
    <row r="13" spans="11:15" x14ac:dyDescent="0.3">
      <c r="K13">
        <f t="shared" ca="1" si="0"/>
        <v>670</v>
      </c>
      <c r="L13">
        <f t="shared" ca="1" si="0"/>
        <v>967</v>
      </c>
      <c r="M13">
        <f t="shared" ca="1" si="0"/>
        <v>691</v>
      </c>
      <c r="N13">
        <f t="shared" ca="1" si="0"/>
        <v>690</v>
      </c>
      <c r="O13">
        <f t="shared" ca="1" si="0"/>
        <v>300</v>
      </c>
    </row>
    <row r="14" spans="11:15" x14ac:dyDescent="0.3">
      <c r="K14">
        <f t="shared" ca="1" si="0"/>
        <v>421</v>
      </c>
      <c r="L14">
        <f t="shared" ca="1" si="0"/>
        <v>172</v>
      </c>
      <c r="M14">
        <f t="shared" ca="1" si="0"/>
        <v>453</v>
      </c>
      <c r="N14">
        <f t="shared" ca="1" si="0"/>
        <v>433</v>
      </c>
      <c r="O14">
        <f t="shared" ca="1" si="0"/>
        <v>844</v>
      </c>
    </row>
    <row r="15" spans="11:15" x14ac:dyDescent="0.3">
      <c r="K15">
        <f t="shared" ca="1" si="0"/>
        <v>542</v>
      </c>
      <c r="L15">
        <f t="shared" ca="1" si="0"/>
        <v>959</v>
      </c>
      <c r="M15">
        <f t="shared" ca="1" si="0"/>
        <v>195</v>
      </c>
      <c r="N15">
        <f t="shared" ca="1" si="0"/>
        <v>373</v>
      </c>
      <c r="O15">
        <f t="shared" ca="1" si="0"/>
        <v>999</v>
      </c>
    </row>
    <row r="16" spans="11:15" x14ac:dyDescent="0.3">
      <c r="K16">
        <f t="shared" ca="1" si="0"/>
        <v>456</v>
      </c>
      <c r="L16">
        <f t="shared" ca="1" si="0"/>
        <v>885</v>
      </c>
      <c r="M16">
        <f t="shared" ca="1" si="0"/>
        <v>377</v>
      </c>
      <c r="N16">
        <f t="shared" ca="1" si="0"/>
        <v>807</v>
      </c>
      <c r="O16">
        <f t="shared" ca="1" si="0"/>
        <v>655</v>
      </c>
    </row>
    <row r="17" spans="11:15" x14ac:dyDescent="0.3">
      <c r="K17">
        <f t="shared" ca="1" si="0"/>
        <v>928</v>
      </c>
      <c r="L17">
        <f t="shared" ca="1" si="0"/>
        <v>887</v>
      </c>
      <c r="M17">
        <f t="shared" ca="1" si="0"/>
        <v>897</v>
      </c>
      <c r="N17">
        <f t="shared" ca="1" si="0"/>
        <v>716</v>
      </c>
      <c r="O17">
        <f t="shared" ca="1" si="0"/>
        <v>902</v>
      </c>
    </row>
    <row r="18" spans="11:15" x14ac:dyDescent="0.3">
      <c r="K18">
        <f t="shared" ca="1" si="0"/>
        <v>270</v>
      </c>
      <c r="L18">
        <f t="shared" ca="1" si="0"/>
        <v>473</v>
      </c>
      <c r="M18">
        <f t="shared" ca="1" si="0"/>
        <v>988</v>
      </c>
      <c r="N18">
        <f t="shared" ca="1" si="0"/>
        <v>713</v>
      </c>
      <c r="O18">
        <f t="shared" ca="1" si="0"/>
        <v>535</v>
      </c>
    </row>
    <row r="19" spans="11:15" x14ac:dyDescent="0.3">
      <c r="K19">
        <f t="shared" ca="1" si="0"/>
        <v>245</v>
      </c>
      <c r="L19">
        <f t="shared" ca="1" si="0"/>
        <v>458</v>
      </c>
      <c r="M19">
        <f t="shared" ca="1" si="0"/>
        <v>942</v>
      </c>
      <c r="N19">
        <f t="shared" ca="1" si="0"/>
        <v>212</v>
      </c>
      <c r="O19">
        <f t="shared" ca="1" si="0"/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2025-11-02T05:06:04Z</dcterms:created>
  <dcterms:modified xsi:type="dcterms:W3CDTF">2025-11-06T06:54:06Z</dcterms:modified>
</cp:coreProperties>
</file>